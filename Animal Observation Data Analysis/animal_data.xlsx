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9CA0DB3-E57A-4113-8B7C-E7F2D509EDE2}" xr6:coauthVersionLast="47" xr6:coauthVersionMax="47" xr10:uidLastSave="{00000000-0000-0000-0000-000000000000}"/>
  <bookViews>
    <workbookView xWindow="-108" yWindow="-108" windowWidth="23256" windowHeight="12456" activeTab="1" xr2:uid="{2F20AA4D-F83C-4E80-9B70-5849D6CBE4F4}"/>
  </bookViews>
  <sheets>
    <sheet name="Pivot Table" sheetId="2" r:id="rId1"/>
    <sheet name="Raw Animal Data" sheetId="3" r:id="rId2"/>
    <sheet name="Clean Animal 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/>
  <c r="G11" i="1" a="1"/>
  <c r="G11" i="1" s="1"/>
  <c r="G12" i="1" a="1"/>
  <c r="G12" i="1" s="1"/>
  <c r="G13" i="1" a="1"/>
  <c r="G13" i="1"/>
  <c r="G14" i="1" a="1"/>
  <c r="G14" i="1" s="1"/>
  <c r="G15" i="1" a="1"/>
  <c r="G15" i="1" s="1"/>
  <c r="G16" i="1" a="1"/>
  <c r="G16" i="1" s="1"/>
  <c r="G17" i="1" a="1"/>
  <c r="G17" i="1" s="1"/>
  <c r="G18" i="1" a="1"/>
  <c r="G18" i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/>
  <c r="G42" i="1" a="1"/>
  <c r="G42" i="1"/>
  <c r="G43" i="1" a="1"/>
  <c r="G43" i="1" s="1"/>
  <c r="G44" i="1" a="1"/>
  <c r="G44" i="1" s="1"/>
  <c r="G45" i="1" a="1"/>
  <c r="G45" i="1"/>
  <c r="G46" i="1" a="1"/>
  <c r="G46" i="1" s="1"/>
  <c r="G47" i="1" a="1"/>
  <c r="G47" i="1" s="1"/>
  <c r="G48" i="1" a="1"/>
  <c r="G48" i="1"/>
  <c r="G49" i="1" a="1"/>
  <c r="G49" i="1" s="1"/>
  <c r="G50" i="1" a="1"/>
  <c r="G50" i="1" s="1"/>
  <c r="G51" i="1" a="1"/>
  <c r="G51" i="1" s="1"/>
  <c r="G52" i="1" a="1"/>
  <c r="G52" i="1"/>
  <c r="G53" i="1" a="1"/>
  <c r="G53" i="1" s="1"/>
  <c r="G54" i="1" a="1"/>
  <c r="G54" i="1" s="1"/>
  <c r="G55" i="1" a="1"/>
  <c r="G55" i="1" s="1"/>
  <c r="G56" i="1" a="1"/>
  <c r="G56" i="1"/>
  <c r="G57" i="1" a="1"/>
  <c r="G57" i="1"/>
  <c r="G58" i="1" a="1"/>
  <c r="G58" i="1" s="1"/>
  <c r="G59" i="1" a="1"/>
  <c r="G59" i="1" s="1"/>
  <c r="G60" i="1" a="1"/>
  <c r="G60" i="1" s="1"/>
  <c r="G61" i="1" a="1"/>
  <c r="G61" i="1" s="1"/>
  <c r="G62" i="1" a="1"/>
  <c r="G62" i="1"/>
  <c r="G63" i="1" a="1"/>
  <c r="G63" i="1" s="1"/>
  <c r="G64" i="1" a="1"/>
  <c r="G64" i="1" s="1"/>
  <c r="G65" i="1" a="1"/>
  <c r="G65" i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/>
  <c r="G73" i="1" a="1"/>
  <c r="G73" i="1" s="1"/>
  <c r="G74" i="1" a="1"/>
  <c r="G74" i="1" s="1"/>
  <c r="G75" i="1" a="1"/>
  <c r="G75" i="1" s="1"/>
  <c r="G76" i="1" a="1"/>
  <c r="G76" i="1"/>
  <c r="G77" i="1" a="1"/>
  <c r="G77" i="1"/>
  <c r="G78" i="1" a="1"/>
  <c r="G78" i="1" s="1"/>
  <c r="G79" i="1" a="1"/>
  <c r="G79" i="1" s="1"/>
  <c r="G80" i="1" a="1"/>
  <c r="G80" i="1" s="1"/>
  <c r="G81" i="1" a="1"/>
  <c r="G81" i="1"/>
  <c r="G82" i="1" a="1"/>
  <c r="G82" i="1" s="1"/>
  <c r="G83" i="1" a="1"/>
  <c r="G83" i="1" s="1"/>
  <c r="G84" i="1" a="1"/>
  <c r="G84" i="1" s="1"/>
  <c r="G85" i="1" a="1"/>
  <c r="G85" i="1" s="1"/>
  <c r="G86" i="1" a="1"/>
  <c r="G86" i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/>
  <c r="G349" i="1" a="1"/>
  <c r="G349" i="1" s="1"/>
  <c r="G350" i="1" a="1"/>
  <c r="G350" i="1" s="1"/>
  <c r="G351" i="1" a="1"/>
  <c r="G351" i="1" s="1"/>
  <c r="G352" i="1" a="1"/>
  <c r="G352" i="1" s="1"/>
  <c r="G353" i="1" a="1"/>
  <c r="G353" i="1"/>
  <c r="G354" i="1" a="1"/>
  <c r="G354" i="1" s="1"/>
  <c r="G355" i="1" a="1"/>
  <c r="G355" i="1" s="1"/>
  <c r="G356" i="1" a="1"/>
  <c r="G356" i="1" s="1"/>
  <c r="G357" i="1" a="1"/>
  <c r="G357" i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/>
  <c r="G367" i="1" a="1"/>
  <c r="G367" i="1" s="1"/>
  <c r="G368" i="1" a="1"/>
  <c r="G368" i="1" s="1"/>
  <c r="G369" i="1" a="1"/>
  <c r="G369" i="1" s="1"/>
  <c r="G370" i="1" a="1"/>
  <c r="G370" i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/>
  <c r="G385" i="1" a="1"/>
  <c r="G385" i="1"/>
  <c r="G386" i="1" a="1"/>
  <c r="G386" i="1" s="1"/>
  <c r="G387" i="1" a="1"/>
  <c r="G387" i="1" s="1"/>
  <c r="G388" i="1" a="1"/>
  <c r="G388" i="1" s="1"/>
  <c r="G389" i="1" a="1"/>
  <c r="G389" i="1"/>
  <c r="G390" i="1" a="1"/>
  <c r="G390" i="1" s="1"/>
  <c r="G391" i="1" a="1"/>
  <c r="G391" i="1" s="1"/>
  <c r="G392" i="1" a="1"/>
  <c r="G392" i="1" s="1"/>
  <c r="G393" i="1" a="1"/>
  <c r="G393" i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/>
  <c r="G414" i="1" a="1"/>
  <c r="G414" i="1" s="1"/>
  <c r="G415" i="1" a="1"/>
  <c r="G415" i="1"/>
  <c r="G416" i="1" a="1"/>
  <c r="G416" i="1" s="1"/>
  <c r="G417" i="1" a="1"/>
  <c r="G417" i="1"/>
  <c r="G418" i="1" a="1"/>
  <c r="G418" i="1" s="1"/>
  <c r="G419" i="1" a="1"/>
  <c r="G419" i="1" s="1"/>
  <c r="G420" i="1" a="1"/>
  <c r="G420" i="1" s="1"/>
  <c r="G421" i="1" a="1"/>
  <c r="G421" i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/>
  <c r="G428" i="1" a="1"/>
  <c r="G428" i="1" s="1"/>
  <c r="G429" i="1" a="1"/>
  <c r="G429" i="1"/>
  <c r="G430" i="1" a="1"/>
  <c r="G430" i="1" s="1"/>
  <c r="G431" i="1" a="1"/>
  <c r="G431" i="1"/>
  <c r="G432" i="1" a="1"/>
  <c r="G432" i="1" s="1"/>
  <c r="G433" i="1" a="1"/>
  <c r="G433" i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/>
  <c r="G448" i="1" a="1"/>
  <c r="G448" i="1" s="1"/>
  <c r="G449" i="1" a="1"/>
  <c r="G449" i="1"/>
  <c r="G450" i="1" a="1"/>
  <c r="G450" i="1" s="1"/>
  <c r="G451" i="1" a="1"/>
  <c r="G451" i="1"/>
  <c r="G452" i="1" a="1"/>
  <c r="G452" i="1" s="1"/>
  <c r="G453" i="1" a="1"/>
  <c r="G453" i="1"/>
  <c r="G454" i="1" a="1"/>
  <c r="G454" i="1" s="1"/>
  <c r="G455" i="1" a="1"/>
  <c r="G455" i="1" s="1"/>
  <c r="G456" i="1" a="1"/>
  <c r="G456" i="1" s="1"/>
  <c r="G457" i="1" a="1"/>
  <c r="G457" i="1"/>
  <c r="G458" i="1" a="1"/>
  <c r="G458" i="1" s="1"/>
  <c r="G459" i="1" a="1"/>
  <c r="G459" i="1"/>
  <c r="G460" i="1" a="1"/>
  <c r="G460" i="1" s="1"/>
  <c r="G461" i="1" a="1"/>
  <c r="G461" i="1" s="1"/>
  <c r="G462" i="1" a="1"/>
  <c r="G462" i="1" s="1"/>
  <c r="G463" i="1" a="1"/>
  <c r="G463" i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/>
  <c r="G478" i="1" a="1"/>
  <c r="G478" i="1" s="1"/>
  <c r="G479" i="1" a="1"/>
  <c r="G479" i="1"/>
  <c r="G480" i="1" a="1"/>
  <c r="G480" i="1" s="1"/>
  <c r="G481" i="1" a="1"/>
  <c r="G481" i="1"/>
  <c r="G482" i="1" a="1"/>
  <c r="G482" i="1" s="1"/>
  <c r="G483" i="1" a="1"/>
  <c r="G483" i="1" s="1"/>
  <c r="G484" i="1" a="1"/>
  <c r="G484" i="1" s="1"/>
  <c r="G485" i="1" a="1"/>
  <c r="G485" i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/>
  <c r="G498" i="1" a="1"/>
  <c r="G498" i="1" s="1"/>
  <c r="G499" i="1" a="1"/>
  <c r="G499" i="1" s="1"/>
  <c r="G500" i="1" a="1"/>
  <c r="G500" i="1" s="1"/>
  <c r="G501" i="1" a="1"/>
  <c r="G501" i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/>
  <c r="G508" i="1" a="1"/>
  <c r="G508" i="1" s="1"/>
  <c r="G509" i="1" a="1"/>
  <c r="G509" i="1"/>
  <c r="G510" i="1" a="1"/>
  <c r="G510" i="1" s="1"/>
  <c r="G511" i="1" a="1"/>
  <c r="G511" i="1" s="1"/>
  <c r="G512" i="1" a="1"/>
  <c r="G512" i="1" s="1"/>
  <c r="G513" i="1" a="1"/>
  <c r="G513" i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/>
  <c r="G522" i="1" a="1"/>
  <c r="G522" i="1" s="1"/>
  <c r="G523" i="1" a="1"/>
  <c r="G523" i="1" s="1"/>
  <c r="G524" i="1" a="1"/>
  <c r="G524" i="1" s="1"/>
  <c r="G525" i="1" a="1"/>
  <c r="G525" i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/>
  <c r="G544" i="1" a="1"/>
  <c r="G544" i="1" s="1"/>
  <c r="G545" i="1" a="1"/>
  <c r="G545" i="1"/>
  <c r="G546" i="1" a="1"/>
  <c r="G546" i="1" s="1"/>
  <c r="G547" i="1" a="1"/>
  <c r="G547" i="1" s="1"/>
  <c r="G548" i="1" a="1"/>
  <c r="G548" i="1" s="1"/>
  <c r="G549" i="1" a="1"/>
  <c r="G549" i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/>
  <c r="G560" i="1" a="1"/>
  <c r="G560" i="1" s="1"/>
  <c r="G561" i="1" a="1"/>
  <c r="G561" i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/>
  <c r="G576" i="1" a="1"/>
  <c r="G576" i="1" s="1"/>
  <c r="G577" i="1" a="1"/>
  <c r="G577" i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/>
  <c r="G618" i="1" a="1"/>
  <c r="G618" i="1" s="1"/>
  <c r="G619" i="1" a="1"/>
  <c r="G619" i="1" s="1"/>
  <c r="G620" i="1" a="1"/>
  <c r="G620" i="1" s="1"/>
  <c r="G621" i="1" a="1"/>
  <c r="G621" i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/>
  <c r="G634" i="1" a="1"/>
  <c r="G634" i="1" s="1"/>
  <c r="G635" i="1" a="1"/>
  <c r="G635" i="1"/>
  <c r="G636" i="1" a="1"/>
  <c r="G636" i="1" s="1"/>
  <c r="G637" i="1" a="1"/>
  <c r="G637" i="1" s="1"/>
  <c r="G638" i="1" a="1"/>
  <c r="G638" i="1" s="1"/>
  <c r="G639" i="1" a="1"/>
  <c r="G639" i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/>
  <c r="G698" i="1" a="1"/>
  <c r="G698" i="1" s="1"/>
  <c r="G699" i="1" a="1"/>
  <c r="G699" i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/>
  <c r="G753" i="1" a="1"/>
  <c r="G753" i="1" s="1"/>
  <c r="G754" i="1" a="1"/>
  <c r="G754" i="1"/>
  <c r="G755" i="1" a="1"/>
  <c r="G755" i="1" s="1"/>
  <c r="G756" i="1" a="1"/>
  <c r="G756" i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/>
  <c r="G769" i="1" a="1"/>
  <c r="G769" i="1" s="1"/>
  <c r="G770" i="1" a="1"/>
  <c r="G770" i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/>
  <c r="G777" i="1" a="1"/>
  <c r="G777" i="1" s="1"/>
  <c r="G778" i="1" a="1"/>
  <c r="G778" i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/>
  <c r="G785" i="1" a="1"/>
  <c r="G785" i="1" s="1"/>
  <c r="G786" i="1" a="1"/>
  <c r="G786" i="1" s="1"/>
  <c r="G787" i="1" a="1"/>
  <c r="G787" i="1" s="1"/>
  <c r="G788" i="1" a="1"/>
  <c r="G788" i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/>
  <c r="G833" i="1" a="1"/>
  <c r="G833" i="1" s="1"/>
  <c r="G834" i="1" a="1"/>
  <c r="G834" i="1" s="1"/>
  <c r="G2" i="1" a="1"/>
  <c r="G2" i="1" s="1"/>
  <c r="E3" i="1" a="1"/>
  <c r="E3" i="1" s="1"/>
  <c r="P3" i="1" s="1"/>
  <c r="E4" i="1" a="1"/>
  <c r="E4" i="1" s="1"/>
  <c r="P4" i="1" s="1"/>
  <c r="E5" i="1" a="1"/>
  <c r="E5" i="1" s="1"/>
  <c r="P5" i="1" s="1"/>
  <c r="E6" i="1" a="1"/>
  <c r="E6" i="1" s="1"/>
  <c r="P6" i="1" s="1"/>
  <c r="E7" i="1" a="1"/>
  <c r="E7" i="1" s="1"/>
  <c r="P7" i="1" s="1"/>
  <c r="E8" i="1" a="1"/>
  <c r="E8" i="1" s="1"/>
  <c r="P8" i="1" s="1"/>
  <c r="E9" i="1" a="1"/>
  <c r="E9" i="1"/>
  <c r="P9" i="1" s="1"/>
  <c r="E10" i="1" a="1"/>
  <c r="E10" i="1" s="1"/>
  <c r="P10" i="1" s="1"/>
  <c r="E11" i="1" a="1"/>
  <c r="E11" i="1" s="1"/>
  <c r="P11" i="1" s="1"/>
  <c r="E12" i="1" a="1"/>
  <c r="E12" i="1" s="1"/>
  <c r="P12" i="1" s="1"/>
  <c r="E13" i="1" a="1"/>
  <c r="E13" i="1" s="1"/>
  <c r="P13" i="1" s="1"/>
  <c r="E14" i="1" a="1"/>
  <c r="E14" i="1" s="1"/>
  <c r="P14" i="1" s="1"/>
  <c r="E15" i="1" a="1"/>
  <c r="E15" i="1" s="1"/>
  <c r="P15" i="1" s="1"/>
  <c r="E16" i="1" a="1"/>
  <c r="E16" i="1" s="1"/>
  <c r="P16" i="1" s="1"/>
  <c r="E17" i="1" a="1"/>
  <c r="E17" i="1" s="1"/>
  <c r="P17" i="1" s="1"/>
  <c r="E18" i="1" a="1"/>
  <c r="E18" i="1" s="1"/>
  <c r="P18" i="1" s="1"/>
  <c r="E19" i="1" a="1"/>
  <c r="E19" i="1" s="1"/>
  <c r="P19" i="1" s="1"/>
  <c r="E20" i="1" a="1"/>
  <c r="E20" i="1" s="1"/>
  <c r="P20" i="1" s="1"/>
  <c r="E21" i="1" a="1"/>
  <c r="E21" i="1" s="1"/>
  <c r="P21" i="1" s="1"/>
  <c r="E22" i="1" a="1"/>
  <c r="E22" i="1" s="1"/>
  <c r="P22" i="1" s="1"/>
  <c r="E23" i="1" a="1"/>
  <c r="E23" i="1" s="1"/>
  <c r="P23" i="1" s="1"/>
  <c r="E24" i="1" a="1"/>
  <c r="E24" i="1" s="1"/>
  <c r="P24" i="1" s="1"/>
  <c r="E25" i="1" a="1"/>
  <c r="E25" i="1"/>
  <c r="P25" i="1" s="1"/>
  <c r="E26" i="1" a="1"/>
  <c r="E26" i="1" s="1"/>
  <c r="P26" i="1" s="1"/>
  <c r="E27" i="1" a="1"/>
  <c r="E27" i="1" s="1"/>
  <c r="P27" i="1" s="1"/>
  <c r="E28" i="1" a="1"/>
  <c r="E28" i="1" s="1"/>
  <c r="P28" i="1" s="1"/>
  <c r="E29" i="1" a="1"/>
  <c r="E29" i="1"/>
  <c r="P29" i="1" s="1"/>
  <c r="E30" i="1" a="1"/>
  <c r="E30" i="1" s="1"/>
  <c r="P30" i="1" s="1"/>
  <c r="E31" i="1" a="1"/>
  <c r="E31" i="1" s="1"/>
  <c r="P31" i="1" s="1"/>
  <c r="E32" i="1" a="1"/>
  <c r="E32" i="1" s="1"/>
  <c r="P32" i="1" s="1"/>
  <c r="E33" i="1" a="1"/>
  <c r="E33" i="1"/>
  <c r="P33" i="1" s="1"/>
  <c r="E34" i="1" a="1"/>
  <c r="E34" i="1" s="1"/>
  <c r="P34" i="1" s="1"/>
  <c r="E35" i="1" a="1"/>
  <c r="E35" i="1" s="1"/>
  <c r="P35" i="1" s="1"/>
  <c r="E36" i="1" a="1"/>
  <c r="E36" i="1" s="1"/>
  <c r="P36" i="1" s="1"/>
  <c r="E37" i="1" a="1"/>
  <c r="E37" i="1" s="1"/>
  <c r="P37" i="1" s="1"/>
  <c r="E38" i="1" a="1"/>
  <c r="E38" i="1" s="1"/>
  <c r="P38" i="1" s="1"/>
  <c r="E39" i="1" a="1"/>
  <c r="E39" i="1" s="1"/>
  <c r="P39" i="1" s="1"/>
  <c r="E40" i="1" a="1"/>
  <c r="E40" i="1" s="1"/>
  <c r="P40" i="1" s="1"/>
  <c r="E41" i="1" a="1"/>
  <c r="E41" i="1"/>
  <c r="P41" i="1" s="1"/>
  <c r="E42" i="1" a="1"/>
  <c r="E42" i="1" s="1"/>
  <c r="P42" i="1" s="1"/>
  <c r="E43" i="1" a="1"/>
  <c r="E43" i="1" s="1"/>
  <c r="P43" i="1" s="1"/>
  <c r="E44" i="1" a="1"/>
  <c r="E44" i="1" s="1"/>
  <c r="P44" i="1" s="1"/>
  <c r="E45" i="1" a="1"/>
  <c r="E45" i="1" s="1"/>
  <c r="P45" i="1" s="1"/>
  <c r="E46" i="1" a="1"/>
  <c r="E46" i="1" s="1"/>
  <c r="P46" i="1" s="1"/>
  <c r="E47" i="1" a="1"/>
  <c r="E47" i="1" s="1"/>
  <c r="P47" i="1" s="1"/>
  <c r="E48" i="1" a="1"/>
  <c r="E48" i="1" s="1"/>
  <c r="P48" i="1" s="1"/>
  <c r="E49" i="1" a="1"/>
  <c r="E49" i="1"/>
  <c r="P49" i="1" s="1"/>
  <c r="E50" i="1" a="1"/>
  <c r="E50" i="1"/>
  <c r="P50" i="1" s="1"/>
  <c r="E51" i="1" a="1"/>
  <c r="E51" i="1" s="1"/>
  <c r="P51" i="1" s="1"/>
  <c r="E52" i="1" a="1"/>
  <c r="E52" i="1" s="1"/>
  <c r="P52" i="1" s="1"/>
  <c r="E53" i="1" a="1"/>
  <c r="E53" i="1" s="1"/>
  <c r="P53" i="1" s="1"/>
  <c r="E54" i="1" a="1"/>
  <c r="E54" i="1"/>
  <c r="P54" i="1" s="1"/>
  <c r="E55" i="1" a="1"/>
  <c r="E55" i="1" s="1"/>
  <c r="P55" i="1" s="1"/>
  <c r="E56" i="1" a="1"/>
  <c r="E56" i="1" s="1"/>
  <c r="P56" i="1" s="1"/>
  <c r="E57" i="1" a="1"/>
  <c r="E57" i="1" s="1"/>
  <c r="P57" i="1" s="1"/>
  <c r="E58" i="1" a="1"/>
  <c r="E58" i="1" s="1"/>
  <c r="P58" i="1" s="1"/>
  <c r="E59" i="1" a="1"/>
  <c r="E59" i="1" s="1"/>
  <c r="P59" i="1" s="1"/>
  <c r="E60" i="1" a="1"/>
  <c r="E60" i="1" s="1"/>
  <c r="P60" i="1" s="1"/>
  <c r="E61" i="1" a="1"/>
  <c r="E61" i="1" s="1"/>
  <c r="P61" i="1" s="1"/>
  <c r="E62" i="1" a="1"/>
  <c r="E62" i="1" s="1"/>
  <c r="P62" i="1" s="1"/>
  <c r="E63" i="1" a="1"/>
  <c r="E63" i="1" s="1"/>
  <c r="P63" i="1" s="1"/>
  <c r="E64" i="1" a="1"/>
  <c r="E64" i="1" s="1"/>
  <c r="P64" i="1" s="1"/>
  <c r="E65" i="1" a="1"/>
  <c r="E65" i="1"/>
  <c r="P65" i="1" s="1"/>
  <c r="E66" i="1" a="1"/>
  <c r="E66" i="1" s="1"/>
  <c r="P66" i="1" s="1"/>
  <c r="E67" i="1" a="1"/>
  <c r="E67" i="1" s="1"/>
  <c r="P67" i="1" s="1"/>
  <c r="E68" i="1" a="1"/>
  <c r="E68" i="1" s="1"/>
  <c r="P68" i="1" s="1"/>
  <c r="E69" i="1" a="1"/>
  <c r="E69" i="1" s="1"/>
  <c r="P69" i="1" s="1"/>
  <c r="E70" i="1" a="1"/>
  <c r="E70" i="1" s="1"/>
  <c r="P70" i="1" s="1"/>
  <c r="E71" i="1" a="1"/>
  <c r="E71" i="1" s="1"/>
  <c r="P71" i="1" s="1"/>
  <c r="E72" i="1" a="1"/>
  <c r="E72" i="1" s="1"/>
  <c r="P72" i="1" s="1"/>
  <c r="E73" i="1" a="1"/>
  <c r="E73" i="1"/>
  <c r="P73" i="1" s="1"/>
  <c r="E74" i="1" a="1"/>
  <c r="E74" i="1" s="1"/>
  <c r="P74" i="1" s="1"/>
  <c r="E75" i="1" a="1"/>
  <c r="E75" i="1" s="1"/>
  <c r="P75" i="1" s="1"/>
  <c r="E76" i="1" a="1"/>
  <c r="E76" i="1" s="1"/>
  <c r="P76" i="1" s="1"/>
  <c r="E77" i="1" a="1"/>
  <c r="E77" i="1" s="1"/>
  <c r="P77" i="1" s="1"/>
  <c r="E78" i="1" a="1"/>
  <c r="E78" i="1" s="1"/>
  <c r="P78" i="1" s="1"/>
  <c r="E79" i="1" a="1"/>
  <c r="E79" i="1" s="1"/>
  <c r="P79" i="1" s="1"/>
  <c r="E80" i="1" a="1"/>
  <c r="E80" i="1" s="1"/>
  <c r="P80" i="1" s="1"/>
  <c r="E81" i="1" a="1"/>
  <c r="E81" i="1" s="1"/>
  <c r="P81" i="1" s="1"/>
  <c r="E82" i="1" a="1"/>
  <c r="E82" i="1" s="1"/>
  <c r="P82" i="1" s="1"/>
  <c r="E83" i="1" a="1"/>
  <c r="E83" i="1" s="1"/>
  <c r="P83" i="1" s="1"/>
  <c r="E84" i="1" a="1"/>
  <c r="E84" i="1" s="1"/>
  <c r="P84" i="1" s="1"/>
  <c r="E85" i="1" a="1"/>
  <c r="E85" i="1" s="1"/>
  <c r="P85" i="1" s="1"/>
  <c r="E86" i="1" a="1"/>
  <c r="E86" i="1" s="1"/>
  <c r="P86" i="1" s="1"/>
  <c r="E87" i="1" a="1"/>
  <c r="E87" i="1" s="1"/>
  <c r="P87" i="1" s="1"/>
  <c r="E88" i="1" a="1"/>
  <c r="E88" i="1" s="1"/>
  <c r="P88" i="1" s="1"/>
  <c r="E89" i="1" a="1"/>
  <c r="E89" i="1"/>
  <c r="P89" i="1" s="1"/>
  <c r="E90" i="1" a="1"/>
  <c r="E90" i="1" s="1"/>
  <c r="P90" i="1" s="1"/>
  <c r="E91" i="1" a="1"/>
  <c r="E91" i="1" s="1"/>
  <c r="P91" i="1" s="1"/>
  <c r="E92" i="1" a="1"/>
  <c r="E92" i="1" s="1"/>
  <c r="P92" i="1" s="1"/>
  <c r="E93" i="1" a="1"/>
  <c r="E93" i="1" s="1"/>
  <c r="P93" i="1" s="1"/>
  <c r="E94" i="1" a="1"/>
  <c r="E94" i="1" s="1"/>
  <c r="P94" i="1" s="1"/>
  <c r="E95" i="1" a="1"/>
  <c r="E95" i="1" s="1"/>
  <c r="P95" i="1" s="1"/>
  <c r="E96" i="1" a="1"/>
  <c r="E96" i="1" s="1"/>
  <c r="P96" i="1" s="1"/>
  <c r="E97" i="1" a="1"/>
  <c r="E97" i="1"/>
  <c r="P97" i="1" s="1"/>
  <c r="E98" i="1" a="1"/>
  <c r="E98" i="1" s="1"/>
  <c r="P98" i="1" s="1"/>
  <c r="E99" i="1" a="1"/>
  <c r="E99" i="1" s="1"/>
  <c r="P99" i="1" s="1"/>
  <c r="E100" i="1" a="1"/>
  <c r="E100" i="1" s="1"/>
  <c r="P100" i="1" s="1"/>
  <c r="E101" i="1" a="1"/>
  <c r="E101" i="1" s="1"/>
  <c r="P101" i="1" s="1"/>
  <c r="E102" i="1" a="1"/>
  <c r="E102" i="1" s="1"/>
  <c r="P102" i="1" s="1"/>
  <c r="E103" i="1" a="1"/>
  <c r="E103" i="1" s="1"/>
  <c r="P103" i="1" s="1"/>
  <c r="E104" i="1" a="1"/>
  <c r="E104" i="1" s="1"/>
  <c r="P104" i="1" s="1"/>
  <c r="E105" i="1" a="1"/>
  <c r="E105" i="1" s="1"/>
  <c r="P105" i="1" s="1"/>
  <c r="E106" i="1" a="1"/>
  <c r="E106" i="1" s="1"/>
  <c r="P106" i="1" s="1"/>
  <c r="E107" i="1" a="1"/>
  <c r="E107" i="1" s="1"/>
  <c r="P107" i="1" s="1"/>
  <c r="E108" i="1" a="1"/>
  <c r="E108" i="1" s="1"/>
  <c r="P108" i="1" s="1"/>
  <c r="E109" i="1" a="1"/>
  <c r="E109" i="1"/>
  <c r="P109" i="1" s="1"/>
  <c r="E110" i="1" a="1"/>
  <c r="E110" i="1" s="1"/>
  <c r="P110" i="1" s="1"/>
  <c r="E111" i="1" a="1"/>
  <c r="E111" i="1" s="1"/>
  <c r="P111" i="1" s="1"/>
  <c r="E112" i="1" a="1"/>
  <c r="E112" i="1" s="1"/>
  <c r="P112" i="1" s="1"/>
  <c r="E113" i="1" a="1"/>
  <c r="E113" i="1" s="1"/>
  <c r="P113" i="1" s="1"/>
  <c r="E114" i="1" a="1"/>
  <c r="E114" i="1" s="1"/>
  <c r="P114" i="1" s="1"/>
  <c r="E115" i="1" a="1"/>
  <c r="E115" i="1" s="1"/>
  <c r="P115" i="1" s="1"/>
  <c r="E116" i="1" a="1"/>
  <c r="E116" i="1" s="1"/>
  <c r="P116" i="1" s="1"/>
  <c r="E117" i="1" a="1"/>
  <c r="E117" i="1" s="1"/>
  <c r="P117" i="1" s="1"/>
  <c r="E118" i="1" a="1"/>
  <c r="E118" i="1"/>
  <c r="P118" i="1" s="1"/>
  <c r="E119" i="1" a="1"/>
  <c r="E119" i="1" s="1"/>
  <c r="P119" i="1" s="1"/>
  <c r="E120" i="1" a="1"/>
  <c r="E120" i="1" s="1"/>
  <c r="P120" i="1" s="1"/>
  <c r="E121" i="1" a="1"/>
  <c r="E121" i="1" s="1"/>
  <c r="P121" i="1" s="1"/>
  <c r="E122" i="1" a="1"/>
  <c r="E122" i="1" s="1"/>
  <c r="P122" i="1" s="1"/>
  <c r="E123" i="1" a="1"/>
  <c r="E123" i="1" s="1"/>
  <c r="P123" i="1" s="1"/>
  <c r="E124" i="1" a="1"/>
  <c r="E124" i="1" s="1"/>
  <c r="P124" i="1" s="1"/>
  <c r="E125" i="1" a="1"/>
  <c r="E125" i="1" s="1"/>
  <c r="P125" i="1" s="1"/>
  <c r="E126" i="1" a="1"/>
  <c r="E126" i="1" s="1"/>
  <c r="P126" i="1" s="1"/>
  <c r="E127" i="1" a="1"/>
  <c r="E127" i="1" s="1"/>
  <c r="P127" i="1" s="1"/>
  <c r="E128" i="1" a="1"/>
  <c r="E128" i="1" s="1"/>
  <c r="P128" i="1" s="1"/>
  <c r="E129" i="1" a="1"/>
  <c r="E129" i="1"/>
  <c r="P129" i="1" s="1"/>
  <c r="E130" i="1" a="1"/>
  <c r="E130" i="1" s="1"/>
  <c r="P130" i="1" s="1"/>
  <c r="E131" i="1" a="1"/>
  <c r="E131" i="1" s="1"/>
  <c r="P131" i="1" s="1"/>
  <c r="E132" i="1" a="1"/>
  <c r="E132" i="1" s="1"/>
  <c r="P132" i="1" s="1"/>
  <c r="E133" i="1" a="1"/>
  <c r="E133" i="1" s="1"/>
  <c r="P133" i="1" s="1"/>
  <c r="E134" i="1" a="1"/>
  <c r="E134" i="1" s="1"/>
  <c r="P134" i="1" s="1"/>
  <c r="E135" i="1" a="1"/>
  <c r="E135" i="1" s="1"/>
  <c r="P135" i="1" s="1"/>
  <c r="E136" i="1" a="1"/>
  <c r="E136" i="1" s="1"/>
  <c r="P136" i="1" s="1"/>
  <c r="E137" i="1" a="1"/>
  <c r="E137" i="1" s="1"/>
  <c r="P137" i="1" s="1"/>
  <c r="E138" i="1" a="1"/>
  <c r="E138" i="1" s="1"/>
  <c r="P138" i="1" s="1"/>
  <c r="E139" i="1" a="1"/>
  <c r="E139" i="1" s="1"/>
  <c r="P139" i="1" s="1"/>
  <c r="E140" i="1" a="1"/>
  <c r="E140" i="1" s="1"/>
  <c r="P140" i="1" s="1"/>
  <c r="E141" i="1" a="1"/>
  <c r="E141" i="1" s="1"/>
  <c r="P141" i="1" s="1"/>
  <c r="E142" i="1" a="1"/>
  <c r="E142" i="1" s="1"/>
  <c r="P142" i="1" s="1"/>
  <c r="E143" i="1" a="1"/>
  <c r="E143" i="1" s="1"/>
  <c r="P143" i="1" s="1"/>
  <c r="E144" i="1" a="1"/>
  <c r="E144" i="1" s="1"/>
  <c r="P144" i="1" s="1"/>
  <c r="E145" i="1" a="1"/>
  <c r="E145" i="1" s="1"/>
  <c r="P145" i="1" s="1"/>
  <c r="E146" i="1" a="1"/>
  <c r="E146" i="1"/>
  <c r="P146" i="1" s="1"/>
  <c r="E147" i="1" a="1"/>
  <c r="E147" i="1" s="1"/>
  <c r="P147" i="1" s="1"/>
  <c r="E148" i="1" a="1"/>
  <c r="E148" i="1" s="1"/>
  <c r="P148" i="1" s="1"/>
  <c r="E149" i="1" a="1"/>
  <c r="E149" i="1" s="1"/>
  <c r="P149" i="1" s="1"/>
  <c r="E150" i="1" a="1"/>
  <c r="E150" i="1" s="1"/>
  <c r="P150" i="1" s="1"/>
  <c r="E151" i="1" a="1"/>
  <c r="E151" i="1" s="1"/>
  <c r="P151" i="1" s="1"/>
  <c r="E152" i="1" a="1"/>
  <c r="E152" i="1" s="1"/>
  <c r="P152" i="1" s="1"/>
  <c r="E153" i="1" a="1"/>
  <c r="E153" i="1"/>
  <c r="P153" i="1" s="1"/>
  <c r="E154" i="1" a="1"/>
  <c r="E154" i="1" s="1"/>
  <c r="P154" i="1" s="1"/>
  <c r="E155" i="1" a="1"/>
  <c r="E155" i="1" s="1"/>
  <c r="P155" i="1" s="1"/>
  <c r="E156" i="1" a="1"/>
  <c r="E156" i="1" s="1"/>
  <c r="P156" i="1" s="1"/>
  <c r="E157" i="1" a="1"/>
  <c r="E157" i="1" s="1"/>
  <c r="P157" i="1" s="1"/>
  <c r="E158" i="1" a="1"/>
  <c r="E158" i="1" s="1"/>
  <c r="P158" i="1" s="1"/>
  <c r="E159" i="1" a="1"/>
  <c r="E159" i="1" s="1"/>
  <c r="P159" i="1" s="1"/>
  <c r="E160" i="1" a="1"/>
  <c r="E160" i="1" s="1"/>
  <c r="P160" i="1" s="1"/>
  <c r="E161" i="1" a="1"/>
  <c r="E161" i="1" s="1"/>
  <c r="P161" i="1" s="1"/>
  <c r="E162" i="1" a="1"/>
  <c r="E162" i="1" s="1"/>
  <c r="P162" i="1" s="1"/>
  <c r="E163" i="1" a="1"/>
  <c r="E163" i="1" s="1"/>
  <c r="P163" i="1" s="1"/>
  <c r="E164" i="1" a="1"/>
  <c r="E164" i="1" s="1"/>
  <c r="P164" i="1" s="1"/>
  <c r="E165" i="1" a="1"/>
  <c r="E165" i="1"/>
  <c r="P165" i="1" s="1"/>
  <c r="E166" i="1" a="1"/>
  <c r="E166" i="1" s="1"/>
  <c r="P166" i="1" s="1"/>
  <c r="E167" i="1" a="1"/>
  <c r="E167" i="1" s="1"/>
  <c r="P167" i="1" s="1"/>
  <c r="E168" i="1" a="1"/>
  <c r="E168" i="1" s="1"/>
  <c r="P168" i="1" s="1"/>
  <c r="E169" i="1" a="1"/>
  <c r="E169" i="1" s="1"/>
  <c r="P169" i="1" s="1"/>
  <c r="E170" i="1" a="1"/>
  <c r="E170" i="1" s="1"/>
  <c r="P170" i="1" s="1"/>
  <c r="E171" i="1" a="1"/>
  <c r="E171" i="1" s="1"/>
  <c r="P171" i="1" s="1"/>
  <c r="E172" i="1" a="1"/>
  <c r="E172" i="1" s="1"/>
  <c r="P172" i="1" s="1"/>
  <c r="E173" i="1" a="1"/>
  <c r="E173" i="1"/>
  <c r="P173" i="1" s="1"/>
  <c r="E174" i="1" a="1"/>
  <c r="E174" i="1" s="1"/>
  <c r="P174" i="1" s="1"/>
  <c r="E175" i="1" a="1"/>
  <c r="E175" i="1" s="1"/>
  <c r="P175" i="1" s="1"/>
  <c r="E176" i="1" a="1"/>
  <c r="E176" i="1" s="1"/>
  <c r="P176" i="1" s="1"/>
  <c r="E177" i="1" a="1"/>
  <c r="E177" i="1" s="1"/>
  <c r="P177" i="1" s="1"/>
  <c r="E178" i="1" a="1"/>
  <c r="E178" i="1" s="1"/>
  <c r="P178" i="1" s="1"/>
  <c r="E179" i="1" a="1"/>
  <c r="E179" i="1" s="1"/>
  <c r="P179" i="1" s="1"/>
  <c r="E180" i="1" a="1"/>
  <c r="E180" i="1" s="1"/>
  <c r="P180" i="1" s="1"/>
  <c r="E181" i="1" a="1"/>
  <c r="E181" i="1"/>
  <c r="P181" i="1" s="1"/>
  <c r="E182" i="1" a="1"/>
  <c r="E182" i="1" s="1"/>
  <c r="P182" i="1" s="1"/>
  <c r="E183" i="1" a="1"/>
  <c r="E183" i="1" s="1"/>
  <c r="P183" i="1" s="1"/>
  <c r="E184" i="1" a="1"/>
  <c r="E184" i="1" s="1"/>
  <c r="P184" i="1" s="1"/>
  <c r="E185" i="1" a="1"/>
  <c r="E185" i="1" s="1"/>
  <c r="P185" i="1" s="1"/>
  <c r="E186" i="1" a="1"/>
  <c r="E186" i="1" s="1"/>
  <c r="P186" i="1" s="1"/>
  <c r="E187" i="1" a="1"/>
  <c r="E187" i="1" s="1"/>
  <c r="P187" i="1" s="1"/>
  <c r="E188" i="1" a="1"/>
  <c r="E188" i="1" s="1"/>
  <c r="P188" i="1" s="1"/>
  <c r="E189" i="1" a="1"/>
  <c r="E189" i="1" s="1"/>
  <c r="P189" i="1" s="1"/>
  <c r="E190" i="1" a="1"/>
  <c r="E190" i="1" s="1"/>
  <c r="P190" i="1" s="1"/>
  <c r="E191" i="1" a="1"/>
  <c r="E191" i="1" s="1"/>
  <c r="P191" i="1" s="1"/>
  <c r="E192" i="1" a="1"/>
  <c r="E192" i="1" s="1"/>
  <c r="P192" i="1" s="1"/>
  <c r="E193" i="1" a="1"/>
  <c r="E193" i="1"/>
  <c r="P193" i="1" s="1"/>
  <c r="E194" i="1" a="1"/>
  <c r="E194" i="1"/>
  <c r="P194" i="1" s="1"/>
  <c r="E195" i="1" a="1"/>
  <c r="E195" i="1" s="1"/>
  <c r="P195" i="1" s="1"/>
  <c r="E196" i="1" a="1"/>
  <c r="E196" i="1" s="1"/>
  <c r="P196" i="1" s="1"/>
  <c r="E197" i="1" a="1"/>
  <c r="E197" i="1" s="1"/>
  <c r="P197" i="1" s="1"/>
  <c r="E198" i="1" a="1"/>
  <c r="E198" i="1" s="1"/>
  <c r="P198" i="1" s="1"/>
  <c r="E199" i="1" a="1"/>
  <c r="E199" i="1" s="1"/>
  <c r="P199" i="1" s="1"/>
  <c r="E200" i="1" a="1"/>
  <c r="E200" i="1" s="1"/>
  <c r="P200" i="1" s="1"/>
  <c r="E201" i="1" a="1"/>
  <c r="E201" i="1" s="1"/>
  <c r="P201" i="1" s="1"/>
  <c r="E202" i="1" a="1"/>
  <c r="E202" i="1" s="1"/>
  <c r="P202" i="1" s="1"/>
  <c r="E203" i="1" a="1"/>
  <c r="E203" i="1" s="1"/>
  <c r="P203" i="1" s="1"/>
  <c r="E204" i="1" a="1"/>
  <c r="E204" i="1" s="1"/>
  <c r="P204" i="1" s="1"/>
  <c r="E205" i="1" a="1"/>
  <c r="E205" i="1" s="1"/>
  <c r="P205" i="1" s="1"/>
  <c r="E206" i="1" a="1"/>
  <c r="E206" i="1" s="1"/>
  <c r="P206" i="1" s="1"/>
  <c r="E207" i="1" a="1"/>
  <c r="E207" i="1" s="1"/>
  <c r="P207" i="1" s="1"/>
  <c r="E208" i="1" a="1"/>
  <c r="E208" i="1" s="1"/>
  <c r="P208" i="1" s="1"/>
  <c r="E209" i="1" a="1"/>
  <c r="E209" i="1" s="1"/>
  <c r="P209" i="1" s="1"/>
  <c r="E210" i="1" a="1"/>
  <c r="E210" i="1" s="1"/>
  <c r="P210" i="1" s="1"/>
  <c r="E211" i="1" a="1"/>
  <c r="E211" i="1" s="1"/>
  <c r="P211" i="1" s="1"/>
  <c r="E212" i="1" a="1"/>
  <c r="E212" i="1" s="1"/>
  <c r="P212" i="1" s="1"/>
  <c r="E213" i="1" a="1"/>
  <c r="E213" i="1" s="1"/>
  <c r="P213" i="1" s="1"/>
  <c r="E214" i="1" a="1"/>
  <c r="E214" i="1" s="1"/>
  <c r="P214" i="1" s="1"/>
  <c r="E215" i="1" a="1"/>
  <c r="E215" i="1" s="1"/>
  <c r="P215" i="1" s="1"/>
  <c r="E216" i="1" a="1"/>
  <c r="E216" i="1" s="1"/>
  <c r="P216" i="1" s="1"/>
  <c r="E217" i="1" a="1"/>
  <c r="E217" i="1" s="1"/>
  <c r="P217" i="1" s="1"/>
  <c r="E218" i="1" a="1"/>
  <c r="E218" i="1" s="1"/>
  <c r="P218" i="1" s="1"/>
  <c r="E219" i="1" a="1"/>
  <c r="E219" i="1" s="1"/>
  <c r="P219" i="1" s="1"/>
  <c r="E220" i="1" a="1"/>
  <c r="E220" i="1" s="1"/>
  <c r="P220" i="1" s="1"/>
  <c r="E221" i="1" a="1"/>
  <c r="E221" i="1" s="1"/>
  <c r="P221" i="1" s="1"/>
  <c r="E222" i="1" a="1"/>
  <c r="E222" i="1" s="1"/>
  <c r="P222" i="1" s="1"/>
  <c r="E223" i="1" a="1"/>
  <c r="E223" i="1" s="1"/>
  <c r="P223" i="1" s="1"/>
  <c r="E224" i="1" a="1"/>
  <c r="E224" i="1" s="1"/>
  <c r="P224" i="1" s="1"/>
  <c r="E225" i="1" a="1"/>
  <c r="E225" i="1" s="1"/>
  <c r="P225" i="1" s="1"/>
  <c r="E226" i="1" a="1"/>
  <c r="E226" i="1" s="1"/>
  <c r="P226" i="1" s="1"/>
  <c r="E227" i="1" a="1"/>
  <c r="E227" i="1" s="1"/>
  <c r="P227" i="1" s="1"/>
  <c r="E228" i="1" a="1"/>
  <c r="E228" i="1" s="1"/>
  <c r="P228" i="1" s="1"/>
  <c r="E229" i="1" a="1"/>
  <c r="E229" i="1"/>
  <c r="P229" i="1" s="1"/>
  <c r="E230" i="1" a="1"/>
  <c r="E230" i="1" s="1"/>
  <c r="P230" i="1" s="1"/>
  <c r="E231" i="1" a="1"/>
  <c r="E231" i="1" s="1"/>
  <c r="P231" i="1" s="1"/>
  <c r="E232" i="1" a="1"/>
  <c r="E232" i="1" s="1"/>
  <c r="P232" i="1" s="1"/>
  <c r="E233" i="1" a="1"/>
  <c r="E233" i="1" s="1"/>
  <c r="P233" i="1" s="1"/>
  <c r="E234" i="1" a="1"/>
  <c r="E234" i="1" s="1"/>
  <c r="P234" i="1" s="1"/>
  <c r="E235" i="1" a="1"/>
  <c r="E235" i="1" s="1"/>
  <c r="P235" i="1" s="1"/>
  <c r="E236" i="1" a="1"/>
  <c r="E236" i="1" s="1"/>
  <c r="P236" i="1" s="1"/>
  <c r="E237" i="1" a="1"/>
  <c r="E237" i="1" s="1"/>
  <c r="P237" i="1" s="1"/>
  <c r="E238" i="1" a="1"/>
  <c r="E238" i="1" s="1"/>
  <c r="P238" i="1" s="1"/>
  <c r="E239" i="1" a="1"/>
  <c r="E239" i="1" s="1"/>
  <c r="P239" i="1" s="1"/>
  <c r="E240" i="1" a="1"/>
  <c r="E240" i="1" s="1"/>
  <c r="P240" i="1" s="1"/>
  <c r="E241" i="1" a="1"/>
  <c r="E241" i="1" s="1"/>
  <c r="P241" i="1" s="1"/>
  <c r="E242" i="1" a="1"/>
  <c r="E242" i="1" s="1"/>
  <c r="P242" i="1" s="1"/>
  <c r="E243" i="1" a="1"/>
  <c r="E243" i="1" s="1"/>
  <c r="P243" i="1" s="1"/>
  <c r="E244" i="1" a="1"/>
  <c r="E244" i="1" s="1"/>
  <c r="P244" i="1" s="1"/>
  <c r="E245" i="1" a="1"/>
  <c r="E245" i="1" s="1"/>
  <c r="P245" i="1" s="1"/>
  <c r="E246" i="1" a="1"/>
  <c r="E246" i="1" s="1"/>
  <c r="P246" i="1" s="1"/>
  <c r="E247" i="1" a="1"/>
  <c r="E247" i="1" s="1"/>
  <c r="P247" i="1" s="1"/>
  <c r="E248" i="1" a="1"/>
  <c r="E248" i="1" s="1"/>
  <c r="P248" i="1" s="1"/>
  <c r="E249" i="1" a="1"/>
  <c r="E249" i="1" s="1"/>
  <c r="P249" i="1" s="1"/>
  <c r="E250" i="1" a="1"/>
  <c r="E250" i="1" s="1"/>
  <c r="P250" i="1" s="1"/>
  <c r="E251" i="1" a="1"/>
  <c r="E251" i="1" s="1"/>
  <c r="P251" i="1" s="1"/>
  <c r="E252" i="1" a="1"/>
  <c r="E252" i="1" s="1"/>
  <c r="P252" i="1" s="1"/>
  <c r="E253" i="1" a="1"/>
  <c r="E253" i="1" s="1"/>
  <c r="P253" i="1" s="1"/>
  <c r="E254" i="1" a="1"/>
  <c r="E254" i="1" s="1"/>
  <c r="P254" i="1" s="1"/>
  <c r="E255" i="1" a="1"/>
  <c r="E255" i="1" s="1"/>
  <c r="P255" i="1" s="1"/>
  <c r="E256" i="1" a="1"/>
  <c r="E256" i="1" s="1"/>
  <c r="P256" i="1" s="1"/>
  <c r="E257" i="1" a="1"/>
  <c r="E257" i="1" s="1"/>
  <c r="P257" i="1" s="1"/>
  <c r="E258" i="1" a="1"/>
  <c r="E258" i="1" s="1"/>
  <c r="P258" i="1" s="1"/>
  <c r="E259" i="1" a="1"/>
  <c r="E259" i="1" s="1"/>
  <c r="P259" i="1" s="1"/>
  <c r="E260" i="1" a="1"/>
  <c r="E260" i="1" s="1"/>
  <c r="P260" i="1" s="1"/>
  <c r="E261" i="1" a="1"/>
  <c r="E261" i="1" s="1"/>
  <c r="P261" i="1" s="1"/>
  <c r="E262" i="1" a="1"/>
  <c r="E262" i="1"/>
  <c r="P262" i="1" s="1"/>
  <c r="E263" i="1" a="1"/>
  <c r="E263" i="1" s="1"/>
  <c r="P263" i="1" s="1"/>
  <c r="E264" i="1" a="1"/>
  <c r="E264" i="1" s="1"/>
  <c r="P264" i="1" s="1"/>
  <c r="E265" i="1" a="1"/>
  <c r="E265" i="1" s="1"/>
  <c r="P265" i="1" s="1"/>
  <c r="E266" i="1" a="1"/>
  <c r="E266" i="1" s="1"/>
  <c r="P266" i="1" s="1"/>
  <c r="E267" i="1" a="1"/>
  <c r="E267" i="1" s="1"/>
  <c r="P267" i="1" s="1"/>
  <c r="E268" i="1" a="1"/>
  <c r="E268" i="1" s="1"/>
  <c r="P268" i="1" s="1"/>
  <c r="E269" i="1" a="1"/>
  <c r="E269" i="1"/>
  <c r="P269" i="1" s="1"/>
  <c r="E270" i="1" a="1"/>
  <c r="E270" i="1" s="1"/>
  <c r="P270" i="1" s="1"/>
  <c r="E271" i="1" a="1"/>
  <c r="E271" i="1" s="1"/>
  <c r="P271" i="1" s="1"/>
  <c r="E272" i="1" a="1"/>
  <c r="E272" i="1" s="1"/>
  <c r="P272" i="1" s="1"/>
  <c r="E273" i="1" a="1"/>
  <c r="E273" i="1"/>
  <c r="P273" i="1" s="1"/>
  <c r="E274" i="1" a="1"/>
  <c r="E274" i="1" s="1"/>
  <c r="P274" i="1" s="1"/>
  <c r="E275" i="1" a="1"/>
  <c r="E275" i="1" s="1"/>
  <c r="P275" i="1" s="1"/>
  <c r="E276" i="1" a="1"/>
  <c r="E276" i="1" s="1"/>
  <c r="P276" i="1" s="1"/>
  <c r="E277" i="1" a="1"/>
  <c r="E277" i="1" s="1"/>
  <c r="P277" i="1" s="1"/>
  <c r="E278" i="1" a="1"/>
  <c r="E278" i="1" s="1"/>
  <c r="P278" i="1" s="1"/>
  <c r="E279" i="1" a="1"/>
  <c r="E279" i="1" s="1"/>
  <c r="P279" i="1" s="1"/>
  <c r="E280" i="1" a="1"/>
  <c r="E280" i="1" s="1"/>
  <c r="P280" i="1" s="1"/>
  <c r="E281" i="1" a="1"/>
  <c r="E281" i="1" s="1"/>
  <c r="P281" i="1" s="1"/>
  <c r="E282" i="1" a="1"/>
  <c r="E282" i="1" s="1"/>
  <c r="P282" i="1" s="1"/>
  <c r="E283" i="1" a="1"/>
  <c r="E283" i="1" s="1"/>
  <c r="P283" i="1" s="1"/>
  <c r="E284" i="1" a="1"/>
  <c r="E284" i="1" s="1"/>
  <c r="P284" i="1" s="1"/>
  <c r="E285" i="1" a="1"/>
  <c r="E285" i="1" s="1"/>
  <c r="P285" i="1" s="1"/>
  <c r="E286" i="1" a="1"/>
  <c r="E286" i="1" s="1"/>
  <c r="P286" i="1" s="1"/>
  <c r="E287" i="1" a="1"/>
  <c r="E287" i="1" s="1"/>
  <c r="P287" i="1" s="1"/>
  <c r="E288" i="1" a="1"/>
  <c r="E288" i="1" s="1"/>
  <c r="P288" i="1" s="1"/>
  <c r="E289" i="1" a="1"/>
  <c r="E289" i="1" s="1"/>
  <c r="P289" i="1" s="1"/>
  <c r="E290" i="1" a="1"/>
  <c r="E290" i="1" s="1"/>
  <c r="P290" i="1" s="1"/>
  <c r="E291" i="1" a="1"/>
  <c r="E291" i="1" s="1"/>
  <c r="P291" i="1" s="1"/>
  <c r="E292" i="1" a="1"/>
  <c r="E292" i="1" s="1"/>
  <c r="P292" i="1" s="1"/>
  <c r="E293" i="1" a="1"/>
  <c r="E293" i="1" s="1"/>
  <c r="P293" i="1" s="1"/>
  <c r="E294" i="1" a="1"/>
  <c r="E294" i="1" s="1"/>
  <c r="P294" i="1" s="1"/>
  <c r="E295" i="1" a="1"/>
  <c r="E295" i="1" s="1"/>
  <c r="P295" i="1" s="1"/>
  <c r="E296" i="1" a="1"/>
  <c r="E296" i="1" s="1"/>
  <c r="P296" i="1" s="1"/>
  <c r="E297" i="1" a="1"/>
  <c r="E297" i="1" s="1"/>
  <c r="P297" i="1" s="1"/>
  <c r="E298" i="1" a="1"/>
  <c r="E298" i="1" s="1"/>
  <c r="P298" i="1" s="1"/>
  <c r="E299" i="1" a="1"/>
  <c r="E299" i="1" s="1"/>
  <c r="P299" i="1" s="1"/>
  <c r="E300" i="1" a="1"/>
  <c r="E300" i="1" s="1"/>
  <c r="P300" i="1" s="1"/>
  <c r="E301" i="1" a="1"/>
  <c r="E301" i="1" s="1"/>
  <c r="P301" i="1" s="1"/>
  <c r="E302" i="1" a="1"/>
  <c r="E302" i="1" s="1"/>
  <c r="P302" i="1" s="1"/>
  <c r="E303" i="1" a="1"/>
  <c r="E303" i="1" s="1"/>
  <c r="P303" i="1" s="1"/>
  <c r="E304" i="1" a="1"/>
  <c r="E304" i="1" s="1"/>
  <c r="P304" i="1" s="1"/>
  <c r="E305" i="1" a="1"/>
  <c r="E305" i="1" s="1"/>
  <c r="P305" i="1" s="1"/>
  <c r="E306" i="1" a="1"/>
  <c r="E306" i="1" s="1"/>
  <c r="P306" i="1" s="1"/>
  <c r="E307" i="1" a="1"/>
  <c r="E307" i="1" s="1"/>
  <c r="P307" i="1" s="1"/>
  <c r="E308" i="1" a="1"/>
  <c r="E308" i="1" s="1"/>
  <c r="P308" i="1" s="1"/>
  <c r="E309" i="1" a="1"/>
  <c r="E309" i="1" s="1"/>
  <c r="P309" i="1" s="1"/>
  <c r="E310" i="1" a="1"/>
  <c r="E310" i="1" s="1"/>
  <c r="P310" i="1" s="1"/>
  <c r="E311" i="1" a="1"/>
  <c r="E311" i="1" s="1"/>
  <c r="P311" i="1" s="1"/>
  <c r="E312" i="1" a="1"/>
  <c r="E312" i="1" s="1"/>
  <c r="P312" i="1" s="1"/>
  <c r="E313" i="1" a="1"/>
  <c r="E313" i="1" s="1"/>
  <c r="P313" i="1" s="1"/>
  <c r="E314" i="1" a="1"/>
  <c r="E314" i="1" s="1"/>
  <c r="P314" i="1" s="1"/>
  <c r="E315" i="1" a="1"/>
  <c r="E315" i="1" s="1"/>
  <c r="P315" i="1" s="1"/>
  <c r="E316" i="1" a="1"/>
  <c r="E316" i="1" s="1"/>
  <c r="P316" i="1" s="1"/>
  <c r="E317" i="1" a="1"/>
  <c r="E317" i="1" s="1"/>
  <c r="P317" i="1" s="1"/>
  <c r="E318" i="1" a="1"/>
  <c r="E318" i="1" s="1"/>
  <c r="P318" i="1" s="1"/>
  <c r="E319" i="1" a="1"/>
  <c r="E319" i="1" s="1"/>
  <c r="P319" i="1" s="1"/>
  <c r="E320" i="1" a="1"/>
  <c r="E320" i="1" s="1"/>
  <c r="P320" i="1" s="1"/>
  <c r="E321" i="1" a="1"/>
  <c r="E321" i="1" s="1"/>
  <c r="P321" i="1" s="1"/>
  <c r="E322" i="1" a="1"/>
  <c r="E322" i="1" s="1"/>
  <c r="P322" i="1" s="1"/>
  <c r="E323" i="1" a="1"/>
  <c r="E323" i="1" s="1"/>
  <c r="P323" i="1" s="1"/>
  <c r="E324" i="1" a="1"/>
  <c r="E324" i="1" s="1"/>
  <c r="P324" i="1" s="1"/>
  <c r="E325" i="1" a="1"/>
  <c r="E325" i="1" s="1"/>
  <c r="P325" i="1" s="1"/>
  <c r="E326" i="1" a="1"/>
  <c r="E326" i="1"/>
  <c r="P326" i="1" s="1"/>
  <c r="E327" i="1" a="1"/>
  <c r="E327" i="1" s="1"/>
  <c r="P327" i="1" s="1"/>
  <c r="E328" i="1" a="1"/>
  <c r="E328" i="1" s="1"/>
  <c r="P328" i="1" s="1"/>
  <c r="E329" i="1" a="1"/>
  <c r="E329" i="1" s="1"/>
  <c r="P329" i="1" s="1"/>
  <c r="E330" i="1" a="1"/>
  <c r="E330" i="1" s="1"/>
  <c r="P330" i="1" s="1"/>
  <c r="E331" i="1" a="1"/>
  <c r="E331" i="1" s="1"/>
  <c r="P331" i="1" s="1"/>
  <c r="E332" i="1" a="1"/>
  <c r="E332" i="1" s="1"/>
  <c r="P332" i="1" s="1"/>
  <c r="E333" i="1" a="1"/>
  <c r="E333" i="1"/>
  <c r="P333" i="1" s="1"/>
  <c r="E334" i="1" a="1"/>
  <c r="E334" i="1" s="1"/>
  <c r="P334" i="1" s="1"/>
  <c r="E335" i="1" a="1"/>
  <c r="E335" i="1" s="1"/>
  <c r="P335" i="1" s="1"/>
  <c r="E336" i="1" a="1"/>
  <c r="E336" i="1" s="1"/>
  <c r="P336" i="1" s="1"/>
  <c r="E337" i="1" a="1"/>
  <c r="E337" i="1"/>
  <c r="P337" i="1" s="1"/>
  <c r="E338" i="1" a="1"/>
  <c r="E338" i="1" s="1"/>
  <c r="P338" i="1" s="1"/>
  <c r="E339" i="1" a="1"/>
  <c r="E339" i="1" s="1"/>
  <c r="P339" i="1" s="1"/>
  <c r="E340" i="1" a="1"/>
  <c r="E340" i="1" s="1"/>
  <c r="P340" i="1" s="1"/>
  <c r="E341" i="1" a="1"/>
  <c r="E341" i="1" s="1"/>
  <c r="P341" i="1" s="1"/>
  <c r="E342" i="1" a="1"/>
  <c r="E342" i="1" s="1"/>
  <c r="P342" i="1" s="1"/>
  <c r="E343" i="1" a="1"/>
  <c r="E343" i="1" s="1"/>
  <c r="P343" i="1" s="1"/>
  <c r="E344" i="1" a="1"/>
  <c r="E344" i="1" s="1"/>
  <c r="P344" i="1" s="1"/>
  <c r="E345" i="1" a="1"/>
  <c r="E345" i="1" s="1"/>
  <c r="P345" i="1" s="1"/>
  <c r="E346" i="1" a="1"/>
  <c r="E346" i="1" s="1"/>
  <c r="P346" i="1" s="1"/>
  <c r="E347" i="1" a="1"/>
  <c r="E347" i="1" s="1"/>
  <c r="P347" i="1" s="1"/>
  <c r="E348" i="1" a="1"/>
  <c r="E348" i="1" s="1"/>
  <c r="P348" i="1" s="1"/>
  <c r="E349" i="1" a="1"/>
  <c r="E349" i="1" s="1"/>
  <c r="P349" i="1" s="1"/>
  <c r="E350" i="1" a="1"/>
  <c r="E350" i="1" s="1"/>
  <c r="P350" i="1" s="1"/>
  <c r="E351" i="1" a="1"/>
  <c r="E351" i="1" s="1"/>
  <c r="P351" i="1" s="1"/>
  <c r="E352" i="1" a="1"/>
  <c r="E352" i="1" s="1"/>
  <c r="P352" i="1" s="1"/>
  <c r="E353" i="1" a="1"/>
  <c r="E353" i="1" s="1"/>
  <c r="P353" i="1" s="1"/>
  <c r="E354" i="1" a="1"/>
  <c r="E354" i="1" s="1"/>
  <c r="P354" i="1" s="1"/>
  <c r="E355" i="1" a="1"/>
  <c r="E355" i="1"/>
  <c r="P355" i="1" s="1"/>
  <c r="E356" i="1" a="1"/>
  <c r="E356" i="1" s="1"/>
  <c r="P356" i="1" s="1"/>
  <c r="E357" i="1" a="1"/>
  <c r="E357" i="1" s="1"/>
  <c r="P357" i="1" s="1"/>
  <c r="E358" i="1" a="1"/>
  <c r="E358" i="1" s="1"/>
  <c r="P358" i="1" s="1"/>
  <c r="E359" i="1" a="1"/>
  <c r="E359" i="1" s="1"/>
  <c r="P359" i="1" s="1"/>
  <c r="E360" i="1" a="1"/>
  <c r="E360" i="1" s="1"/>
  <c r="P360" i="1" s="1"/>
  <c r="E361" i="1" a="1"/>
  <c r="E361" i="1" s="1"/>
  <c r="P361" i="1" s="1"/>
  <c r="E362" i="1" a="1"/>
  <c r="E362" i="1" s="1"/>
  <c r="P362" i="1" s="1"/>
  <c r="E363" i="1" a="1"/>
  <c r="E363" i="1" s="1"/>
  <c r="P363" i="1" s="1"/>
  <c r="E364" i="1" a="1"/>
  <c r="E364" i="1" s="1"/>
  <c r="P364" i="1" s="1"/>
  <c r="E365" i="1" a="1"/>
  <c r="E365" i="1" s="1"/>
  <c r="P365" i="1" s="1"/>
  <c r="E366" i="1" a="1"/>
  <c r="E366" i="1" s="1"/>
  <c r="P366" i="1" s="1"/>
  <c r="E367" i="1" a="1"/>
  <c r="E367" i="1" s="1"/>
  <c r="P367" i="1" s="1"/>
  <c r="E368" i="1" a="1"/>
  <c r="E368" i="1" s="1"/>
  <c r="P368" i="1" s="1"/>
  <c r="E369" i="1" a="1"/>
  <c r="E369" i="1" s="1"/>
  <c r="P369" i="1" s="1"/>
  <c r="E370" i="1" a="1"/>
  <c r="E370" i="1" s="1"/>
  <c r="P370" i="1" s="1"/>
  <c r="E371" i="1" a="1"/>
  <c r="E371" i="1" s="1"/>
  <c r="P371" i="1" s="1"/>
  <c r="E372" i="1" a="1"/>
  <c r="E372" i="1" s="1"/>
  <c r="P372" i="1" s="1"/>
  <c r="E373" i="1" a="1"/>
  <c r="E373" i="1" s="1"/>
  <c r="P373" i="1" s="1"/>
  <c r="E374" i="1" a="1"/>
  <c r="E374" i="1" s="1"/>
  <c r="P374" i="1" s="1"/>
  <c r="E375" i="1" a="1"/>
  <c r="E375" i="1" s="1"/>
  <c r="P375" i="1" s="1"/>
  <c r="E376" i="1" a="1"/>
  <c r="E376" i="1" s="1"/>
  <c r="P376" i="1" s="1"/>
  <c r="E377" i="1" a="1"/>
  <c r="E377" i="1" s="1"/>
  <c r="P377" i="1" s="1"/>
  <c r="E378" i="1" a="1"/>
  <c r="E378" i="1" s="1"/>
  <c r="P378" i="1" s="1"/>
  <c r="E379" i="1" a="1"/>
  <c r="E379" i="1" s="1"/>
  <c r="P379" i="1" s="1"/>
  <c r="E380" i="1" a="1"/>
  <c r="E380" i="1" s="1"/>
  <c r="P380" i="1" s="1"/>
  <c r="E381" i="1" a="1"/>
  <c r="E381" i="1" s="1"/>
  <c r="P381" i="1" s="1"/>
  <c r="E382" i="1" a="1"/>
  <c r="E382" i="1"/>
  <c r="P382" i="1" s="1"/>
  <c r="E383" i="1" a="1"/>
  <c r="E383" i="1" s="1"/>
  <c r="P383" i="1" s="1"/>
  <c r="E384" i="1" a="1"/>
  <c r="E384" i="1" s="1"/>
  <c r="P384" i="1" s="1"/>
  <c r="E385" i="1" a="1"/>
  <c r="E385" i="1" s="1"/>
  <c r="P385" i="1" s="1"/>
  <c r="E386" i="1" a="1"/>
  <c r="E386" i="1" s="1"/>
  <c r="P386" i="1" s="1"/>
  <c r="E387" i="1" a="1"/>
  <c r="E387" i="1" s="1"/>
  <c r="P387" i="1" s="1"/>
  <c r="E388" i="1" a="1"/>
  <c r="E388" i="1" s="1"/>
  <c r="P388" i="1" s="1"/>
  <c r="E389" i="1" a="1"/>
  <c r="E389" i="1" s="1"/>
  <c r="P389" i="1" s="1"/>
  <c r="E390" i="1" a="1"/>
  <c r="E390" i="1" s="1"/>
  <c r="P390" i="1" s="1"/>
  <c r="E391" i="1" a="1"/>
  <c r="E391" i="1" s="1"/>
  <c r="P391" i="1" s="1"/>
  <c r="E392" i="1" a="1"/>
  <c r="E392" i="1" s="1"/>
  <c r="P392" i="1" s="1"/>
  <c r="E393" i="1" a="1"/>
  <c r="E393" i="1" s="1"/>
  <c r="P393" i="1" s="1"/>
  <c r="E394" i="1" a="1"/>
  <c r="E394" i="1" s="1"/>
  <c r="P394" i="1" s="1"/>
  <c r="E395" i="1" a="1"/>
  <c r="E395" i="1" s="1"/>
  <c r="P395" i="1" s="1"/>
  <c r="E396" i="1" a="1"/>
  <c r="E396" i="1" s="1"/>
  <c r="P396" i="1" s="1"/>
  <c r="E397" i="1" a="1"/>
  <c r="E397" i="1" s="1"/>
  <c r="P397" i="1" s="1"/>
  <c r="E398" i="1" a="1"/>
  <c r="E398" i="1"/>
  <c r="P398" i="1" s="1"/>
  <c r="E399" i="1" a="1"/>
  <c r="E399" i="1" s="1"/>
  <c r="P399" i="1" s="1"/>
  <c r="E400" i="1" a="1"/>
  <c r="E400" i="1" s="1"/>
  <c r="P400" i="1" s="1"/>
  <c r="E401" i="1" a="1"/>
  <c r="E401" i="1" s="1"/>
  <c r="P401" i="1" s="1"/>
  <c r="E402" i="1" a="1"/>
  <c r="E402" i="1" s="1"/>
  <c r="P402" i="1" s="1"/>
  <c r="E403" i="1" a="1"/>
  <c r="E403" i="1" s="1"/>
  <c r="P403" i="1" s="1"/>
  <c r="E404" i="1" a="1"/>
  <c r="E404" i="1"/>
  <c r="P404" i="1" s="1"/>
  <c r="E405" i="1" a="1"/>
  <c r="E405" i="1" s="1"/>
  <c r="P405" i="1" s="1"/>
  <c r="E406" i="1" a="1"/>
  <c r="E406" i="1" s="1"/>
  <c r="P406" i="1" s="1"/>
  <c r="E407" i="1" a="1"/>
  <c r="E407" i="1" s="1"/>
  <c r="P407" i="1" s="1"/>
  <c r="E408" i="1" a="1"/>
  <c r="E408" i="1" s="1"/>
  <c r="P408" i="1" s="1"/>
  <c r="E409" i="1" a="1"/>
  <c r="E409" i="1" s="1"/>
  <c r="P409" i="1" s="1"/>
  <c r="E410" i="1" a="1"/>
  <c r="E410" i="1"/>
  <c r="P410" i="1" s="1"/>
  <c r="E411" i="1" a="1"/>
  <c r="E411" i="1" s="1"/>
  <c r="P411" i="1" s="1"/>
  <c r="E412" i="1" a="1"/>
  <c r="E412" i="1" s="1"/>
  <c r="P412" i="1" s="1"/>
  <c r="E413" i="1" a="1"/>
  <c r="E413" i="1" s="1"/>
  <c r="P413" i="1" s="1"/>
  <c r="E414" i="1" a="1"/>
  <c r="E414" i="1" s="1"/>
  <c r="P414" i="1" s="1"/>
  <c r="E415" i="1" a="1"/>
  <c r="E415" i="1" s="1"/>
  <c r="P415" i="1" s="1"/>
  <c r="E416" i="1" a="1"/>
  <c r="E416" i="1"/>
  <c r="P416" i="1" s="1"/>
  <c r="E417" i="1" a="1"/>
  <c r="E417" i="1" s="1"/>
  <c r="P417" i="1" s="1"/>
  <c r="E418" i="1" a="1"/>
  <c r="E418" i="1"/>
  <c r="P418" i="1" s="1"/>
  <c r="E419" i="1" a="1"/>
  <c r="E419" i="1"/>
  <c r="P419" i="1" s="1"/>
  <c r="E420" i="1" a="1"/>
  <c r="E420" i="1" s="1"/>
  <c r="P420" i="1" s="1"/>
  <c r="E421" i="1" a="1"/>
  <c r="E421" i="1" s="1"/>
  <c r="P421" i="1" s="1"/>
  <c r="E422" i="1" a="1"/>
  <c r="E422" i="1" s="1"/>
  <c r="P422" i="1" s="1"/>
  <c r="E423" i="1" a="1"/>
  <c r="E423" i="1" s="1"/>
  <c r="P423" i="1" s="1"/>
  <c r="E424" i="1" a="1"/>
  <c r="E424" i="1" s="1"/>
  <c r="P424" i="1" s="1"/>
  <c r="E425" i="1" a="1"/>
  <c r="E425" i="1" s="1"/>
  <c r="P425" i="1" s="1"/>
  <c r="E426" i="1" a="1"/>
  <c r="E426" i="1" s="1"/>
  <c r="P426" i="1" s="1"/>
  <c r="E427" i="1" a="1"/>
  <c r="E427" i="1" s="1"/>
  <c r="P427" i="1" s="1"/>
  <c r="E428" i="1" a="1"/>
  <c r="E428" i="1" s="1"/>
  <c r="P428" i="1" s="1"/>
  <c r="E429" i="1" a="1"/>
  <c r="E429" i="1" s="1"/>
  <c r="P429" i="1" s="1"/>
  <c r="E430" i="1" a="1"/>
  <c r="E430" i="1" s="1"/>
  <c r="P430" i="1" s="1"/>
  <c r="E431" i="1" a="1"/>
  <c r="E431" i="1"/>
  <c r="P431" i="1" s="1"/>
  <c r="E432" i="1" a="1"/>
  <c r="E432" i="1" s="1"/>
  <c r="P432" i="1" s="1"/>
  <c r="E433" i="1" a="1"/>
  <c r="E433" i="1" s="1"/>
  <c r="P433" i="1" s="1"/>
  <c r="E434" i="1" a="1"/>
  <c r="E434" i="1" s="1"/>
  <c r="P434" i="1" s="1"/>
  <c r="E435" i="1" a="1"/>
  <c r="E435" i="1" s="1"/>
  <c r="P435" i="1" s="1"/>
  <c r="E436" i="1" a="1"/>
  <c r="E436" i="1" s="1"/>
  <c r="P436" i="1" s="1"/>
  <c r="E437" i="1" a="1"/>
  <c r="E437" i="1" s="1"/>
  <c r="P437" i="1" s="1"/>
  <c r="E438" i="1" a="1"/>
  <c r="E438" i="1" s="1"/>
  <c r="P438" i="1" s="1"/>
  <c r="E439" i="1" a="1"/>
  <c r="E439" i="1" s="1"/>
  <c r="P439" i="1" s="1"/>
  <c r="E440" i="1" a="1"/>
  <c r="E440" i="1" s="1"/>
  <c r="P440" i="1" s="1"/>
  <c r="E441" i="1" a="1"/>
  <c r="E441" i="1" s="1"/>
  <c r="P441" i="1" s="1"/>
  <c r="E442" i="1" a="1"/>
  <c r="E442" i="1" s="1"/>
  <c r="P442" i="1" s="1"/>
  <c r="E443" i="1" a="1"/>
  <c r="E443" i="1" s="1"/>
  <c r="P443" i="1" s="1"/>
  <c r="E444" i="1" a="1"/>
  <c r="E444" i="1" s="1"/>
  <c r="P444" i="1" s="1"/>
  <c r="E445" i="1" a="1"/>
  <c r="E445" i="1" s="1"/>
  <c r="P445" i="1" s="1"/>
  <c r="E446" i="1" a="1"/>
  <c r="E446" i="1" s="1"/>
  <c r="P446" i="1" s="1"/>
  <c r="E447" i="1" a="1"/>
  <c r="E447" i="1" s="1"/>
  <c r="P447" i="1" s="1"/>
  <c r="E448" i="1" a="1"/>
  <c r="E448" i="1" s="1"/>
  <c r="P448" i="1" s="1"/>
  <c r="E449" i="1" a="1"/>
  <c r="E449" i="1" s="1"/>
  <c r="P449" i="1" s="1"/>
  <c r="E450" i="1" a="1"/>
  <c r="E450" i="1" s="1"/>
  <c r="P450" i="1" s="1"/>
  <c r="E451" i="1" a="1"/>
  <c r="E451" i="1" s="1"/>
  <c r="P451" i="1" s="1"/>
  <c r="E452" i="1" a="1"/>
  <c r="E452" i="1" s="1"/>
  <c r="P452" i="1" s="1"/>
  <c r="E453" i="1" a="1"/>
  <c r="E453" i="1" s="1"/>
  <c r="P453" i="1" s="1"/>
  <c r="E454" i="1" a="1"/>
  <c r="E454" i="1" s="1"/>
  <c r="P454" i="1" s="1"/>
  <c r="E455" i="1" a="1"/>
  <c r="E455" i="1" s="1"/>
  <c r="P455" i="1" s="1"/>
  <c r="E456" i="1" a="1"/>
  <c r="E456" i="1" s="1"/>
  <c r="P456" i="1" s="1"/>
  <c r="E457" i="1" a="1"/>
  <c r="E457" i="1" s="1"/>
  <c r="P457" i="1" s="1"/>
  <c r="E458" i="1" a="1"/>
  <c r="E458" i="1"/>
  <c r="P458" i="1" s="1"/>
  <c r="E459" i="1" a="1"/>
  <c r="E459" i="1" s="1"/>
  <c r="P459" i="1" s="1"/>
  <c r="E460" i="1" a="1"/>
  <c r="E460" i="1" s="1"/>
  <c r="P460" i="1" s="1"/>
  <c r="E461" i="1" a="1"/>
  <c r="E461" i="1" s="1"/>
  <c r="P461" i="1" s="1"/>
  <c r="E462" i="1" a="1"/>
  <c r="E462" i="1" s="1"/>
  <c r="P462" i="1" s="1"/>
  <c r="E463" i="1" a="1"/>
  <c r="E463" i="1" s="1"/>
  <c r="P463" i="1" s="1"/>
  <c r="E464" i="1" a="1"/>
  <c r="E464" i="1" s="1"/>
  <c r="P464" i="1" s="1"/>
  <c r="E465" i="1" a="1"/>
  <c r="E465" i="1" s="1"/>
  <c r="P465" i="1" s="1"/>
  <c r="E466" i="1" a="1"/>
  <c r="E466" i="1" s="1"/>
  <c r="P466" i="1" s="1"/>
  <c r="E467" i="1" a="1"/>
  <c r="E467" i="1" s="1"/>
  <c r="P467" i="1" s="1"/>
  <c r="E468" i="1" a="1"/>
  <c r="E468" i="1" s="1"/>
  <c r="P468" i="1" s="1"/>
  <c r="E469" i="1" a="1"/>
  <c r="E469" i="1" s="1"/>
  <c r="P469" i="1" s="1"/>
  <c r="E470" i="1" a="1"/>
  <c r="E470" i="1" s="1"/>
  <c r="P470" i="1" s="1"/>
  <c r="E471" i="1" a="1"/>
  <c r="E471" i="1" s="1"/>
  <c r="P471" i="1" s="1"/>
  <c r="E472" i="1" a="1"/>
  <c r="E472" i="1" s="1"/>
  <c r="P472" i="1" s="1"/>
  <c r="E473" i="1" a="1"/>
  <c r="E473" i="1" s="1"/>
  <c r="P473" i="1" s="1"/>
  <c r="E474" i="1" a="1"/>
  <c r="E474" i="1" s="1"/>
  <c r="P474" i="1" s="1"/>
  <c r="E475" i="1" a="1"/>
  <c r="E475" i="1" s="1"/>
  <c r="P475" i="1" s="1"/>
  <c r="E476" i="1" a="1"/>
  <c r="E476" i="1" s="1"/>
  <c r="P476" i="1" s="1"/>
  <c r="E477" i="1" a="1"/>
  <c r="E477" i="1" s="1"/>
  <c r="P477" i="1" s="1"/>
  <c r="E478" i="1" a="1"/>
  <c r="E478" i="1" s="1"/>
  <c r="P478" i="1" s="1"/>
  <c r="E479" i="1" a="1"/>
  <c r="E479" i="1" s="1"/>
  <c r="P479" i="1" s="1"/>
  <c r="E480" i="1" a="1"/>
  <c r="E480" i="1" s="1"/>
  <c r="P480" i="1" s="1"/>
  <c r="E481" i="1" a="1"/>
  <c r="E481" i="1" s="1"/>
  <c r="P481" i="1" s="1"/>
  <c r="E482" i="1" a="1"/>
  <c r="E482" i="1" s="1"/>
  <c r="P482" i="1" s="1"/>
  <c r="E483" i="1" a="1"/>
  <c r="E483" i="1" s="1"/>
  <c r="P483" i="1" s="1"/>
  <c r="E484" i="1" a="1"/>
  <c r="E484" i="1" s="1"/>
  <c r="P484" i="1" s="1"/>
  <c r="E485" i="1" a="1"/>
  <c r="E485" i="1" s="1"/>
  <c r="P485" i="1" s="1"/>
  <c r="E486" i="1" a="1"/>
  <c r="E486" i="1" s="1"/>
  <c r="P486" i="1" s="1"/>
  <c r="E487" i="1" a="1"/>
  <c r="E487" i="1" s="1"/>
  <c r="P487" i="1" s="1"/>
  <c r="E488" i="1" a="1"/>
  <c r="E488" i="1" s="1"/>
  <c r="P488" i="1" s="1"/>
  <c r="E489" i="1" a="1"/>
  <c r="E489" i="1" s="1"/>
  <c r="P489" i="1" s="1"/>
  <c r="E490" i="1" a="1"/>
  <c r="E490" i="1" s="1"/>
  <c r="P490" i="1" s="1"/>
  <c r="E491" i="1" a="1"/>
  <c r="E491" i="1" s="1"/>
  <c r="P491" i="1" s="1"/>
  <c r="E492" i="1" a="1"/>
  <c r="E492" i="1" s="1"/>
  <c r="P492" i="1" s="1"/>
  <c r="E493" i="1" a="1"/>
  <c r="E493" i="1" s="1"/>
  <c r="P493" i="1" s="1"/>
  <c r="E494" i="1" a="1"/>
  <c r="E494" i="1" s="1"/>
  <c r="P494" i="1" s="1"/>
  <c r="E495" i="1" a="1"/>
  <c r="E495" i="1" s="1"/>
  <c r="P495" i="1" s="1"/>
  <c r="E496" i="1" a="1"/>
  <c r="E496" i="1" s="1"/>
  <c r="P496" i="1" s="1"/>
  <c r="E497" i="1" a="1"/>
  <c r="E497" i="1" s="1"/>
  <c r="P497" i="1" s="1"/>
  <c r="E498" i="1" a="1"/>
  <c r="E498" i="1" s="1"/>
  <c r="P498" i="1" s="1"/>
  <c r="E499" i="1" a="1"/>
  <c r="E499" i="1" s="1"/>
  <c r="P499" i="1" s="1"/>
  <c r="E500" i="1" a="1"/>
  <c r="E500" i="1" s="1"/>
  <c r="P500" i="1" s="1"/>
  <c r="E501" i="1" a="1"/>
  <c r="E501" i="1" s="1"/>
  <c r="P501" i="1" s="1"/>
  <c r="E502" i="1" a="1"/>
  <c r="E502" i="1" s="1"/>
  <c r="P502" i="1" s="1"/>
  <c r="E503" i="1" a="1"/>
  <c r="E503" i="1" s="1"/>
  <c r="P503" i="1" s="1"/>
  <c r="E504" i="1" a="1"/>
  <c r="E504" i="1" s="1"/>
  <c r="P504" i="1" s="1"/>
  <c r="E505" i="1" a="1"/>
  <c r="E505" i="1" s="1"/>
  <c r="P505" i="1" s="1"/>
  <c r="E506" i="1" a="1"/>
  <c r="E506" i="1" s="1"/>
  <c r="P506" i="1" s="1"/>
  <c r="E507" i="1" a="1"/>
  <c r="E507" i="1" s="1"/>
  <c r="P507" i="1" s="1"/>
  <c r="E508" i="1" a="1"/>
  <c r="E508" i="1" s="1"/>
  <c r="P508" i="1" s="1"/>
  <c r="E509" i="1" a="1"/>
  <c r="E509" i="1" s="1"/>
  <c r="P509" i="1" s="1"/>
  <c r="E510" i="1" a="1"/>
  <c r="E510" i="1" s="1"/>
  <c r="P510" i="1" s="1"/>
  <c r="E511" i="1" a="1"/>
  <c r="E511" i="1" s="1"/>
  <c r="P511" i="1" s="1"/>
  <c r="E512" i="1" a="1"/>
  <c r="E512" i="1" s="1"/>
  <c r="P512" i="1" s="1"/>
  <c r="E513" i="1" a="1"/>
  <c r="E513" i="1" s="1"/>
  <c r="P513" i="1" s="1"/>
  <c r="E514" i="1" a="1"/>
  <c r="E514" i="1" s="1"/>
  <c r="P514" i="1" s="1"/>
  <c r="E515" i="1" a="1"/>
  <c r="E515" i="1" s="1"/>
  <c r="P515" i="1" s="1"/>
  <c r="E516" i="1" a="1"/>
  <c r="E516" i="1" s="1"/>
  <c r="P516" i="1" s="1"/>
  <c r="E517" i="1" a="1"/>
  <c r="E517" i="1" s="1"/>
  <c r="P517" i="1" s="1"/>
  <c r="E518" i="1" a="1"/>
  <c r="E518" i="1" s="1"/>
  <c r="P518" i="1" s="1"/>
  <c r="E519" i="1" a="1"/>
  <c r="E519" i="1" s="1"/>
  <c r="P519" i="1" s="1"/>
  <c r="E520" i="1" a="1"/>
  <c r="E520" i="1" s="1"/>
  <c r="P520" i="1" s="1"/>
  <c r="E521" i="1" a="1"/>
  <c r="E521" i="1" s="1"/>
  <c r="P521" i="1" s="1"/>
  <c r="E522" i="1" a="1"/>
  <c r="E522" i="1" s="1"/>
  <c r="P522" i="1" s="1"/>
  <c r="E523" i="1" a="1"/>
  <c r="E523" i="1" s="1"/>
  <c r="P523" i="1" s="1"/>
  <c r="E524" i="1" a="1"/>
  <c r="E524" i="1" s="1"/>
  <c r="P524" i="1" s="1"/>
  <c r="E525" i="1" a="1"/>
  <c r="E525" i="1" s="1"/>
  <c r="P525" i="1" s="1"/>
  <c r="E526" i="1" a="1"/>
  <c r="E526" i="1" s="1"/>
  <c r="P526" i="1" s="1"/>
  <c r="E527" i="1" a="1"/>
  <c r="E527" i="1" s="1"/>
  <c r="P527" i="1" s="1"/>
  <c r="E528" i="1" a="1"/>
  <c r="E528" i="1" s="1"/>
  <c r="P528" i="1" s="1"/>
  <c r="E529" i="1" a="1"/>
  <c r="E529" i="1" s="1"/>
  <c r="P529" i="1" s="1"/>
  <c r="E530" i="1" a="1"/>
  <c r="E530" i="1" s="1"/>
  <c r="P530" i="1" s="1"/>
  <c r="E531" i="1" a="1"/>
  <c r="E531" i="1" s="1"/>
  <c r="P531" i="1" s="1"/>
  <c r="E532" i="1" a="1"/>
  <c r="E532" i="1" s="1"/>
  <c r="P532" i="1" s="1"/>
  <c r="E533" i="1" a="1"/>
  <c r="E533" i="1" s="1"/>
  <c r="P533" i="1" s="1"/>
  <c r="E534" i="1" a="1"/>
  <c r="E534" i="1" s="1"/>
  <c r="P534" i="1" s="1"/>
  <c r="E535" i="1" a="1"/>
  <c r="E535" i="1" s="1"/>
  <c r="P535" i="1" s="1"/>
  <c r="E536" i="1" a="1"/>
  <c r="E536" i="1" s="1"/>
  <c r="P536" i="1" s="1"/>
  <c r="E537" i="1" a="1"/>
  <c r="E537" i="1" s="1"/>
  <c r="P537" i="1" s="1"/>
  <c r="E538" i="1" a="1"/>
  <c r="E538" i="1" s="1"/>
  <c r="P538" i="1" s="1"/>
  <c r="E539" i="1" a="1"/>
  <c r="E539" i="1" s="1"/>
  <c r="P539" i="1" s="1"/>
  <c r="E540" i="1" a="1"/>
  <c r="E540" i="1" s="1"/>
  <c r="P540" i="1" s="1"/>
  <c r="E541" i="1" a="1"/>
  <c r="E541" i="1" s="1"/>
  <c r="P541" i="1" s="1"/>
  <c r="E542" i="1" a="1"/>
  <c r="E542" i="1" s="1"/>
  <c r="P542" i="1" s="1"/>
  <c r="E543" i="1" a="1"/>
  <c r="E543" i="1" s="1"/>
  <c r="P543" i="1" s="1"/>
  <c r="E544" i="1" a="1"/>
  <c r="E544" i="1" s="1"/>
  <c r="P544" i="1" s="1"/>
  <c r="E545" i="1" a="1"/>
  <c r="E545" i="1" s="1"/>
  <c r="P545" i="1" s="1"/>
  <c r="E546" i="1" a="1"/>
  <c r="E546" i="1" s="1"/>
  <c r="P546" i="1" s="1"/>
  <c r="E547" i="1" a="1"/>
  <c r="E547" i="1" s="1"/>
  <c r="P547" i="1" s="1"/>
  <c r="E548" i="1" a="1"/>
  <c r="E548" i="1" s="1"/>
  <c r="P548" i="1" s="1"/>
  <c r="E549" i="1" a="1"/>
  <c r="E549" i="1" s="1"/>
  <c r="P549" i="1" s="1"/>
  <c r="E550" i="1" a="1"/>
  <c r="E550" i="1" s="1"/>
  <c r="P550" i="1" s="1"/>
  <c r="E551" i="1" a="1"/>
  <c r="E551" i="1" s="1"/>
  <c r="P551" i="1" s="1"/>
  <c r="E552" i="1" a="1"/>
  <c r="E552" i="1" s="1"/>
  <c r="P552" i="1" s="1"/>
  <c r="E553" i="1" a="1"/>
  <c r="E553" i="1" s="1"/>
  <c r="P553" i="1" s="1"/>
  <c r="E554" i="1" a="1"/>
  <c r="E554" i="1" s="1"/>
  <c r="P554" i="1" s="1"/>
  <c r="E555" i="1" a="1"/>
  <c r="E555" i="1" s="1"/>
  <c r="P555" i="1" s="1"/>
  <c r="E556" i="1" a="1"/>
  <c r="E556" i="1" s="1"/>
  <c r="P556" i="1" s="1"/>
  <c r="E557" i="1" a="1"/>
  <c r="E557" i="1" s="1"/>
  <c r="P557" i="1" s="1"/>
  <c r="E558" i="1" a="1"/>
  <c r="E558" i="1" s="1"/>
  <c r="P558" i="1" s="1"/>
  <c r="E559" i="1" a="1"/>
  <c r="E559" i="1" s="1"/>
  <c r="P559" i="1" s="1"/>
  <c r="E560" i="1" a="1"/>
  <c r="E560" i="1" s="1"/>
  <c r="P560" i="1" s="1"/>
  <c r="E561" i="1" a="1"/>
  <c r="E561" i="1" s="1"/>
  <c r="P561" i="1" s="1"/>
  <c r="E562" i="1" a="1"/>
  <c r="E562" i="1" s="1"/>
  <c r="P562" i="1" s="1"/>
  <c r="E563" i="1" a="1"/>
  <c r="E563" i="1" s="1"/>
  <c r="P563" i="1" s="1"/>
  <c r="E564" i="1" a="1"/>
  <c r="E564" i="1" s="1"/>
  <c r="P564" i="1" s="1"/>
  <c r="E565" i="1" a="1"/>
  <c r="E565" i="1" s="1"/>
  <c r="P565" i="1" s="1"/>
  <c r="E566" i="1" a="1"/>
  <c r="E566" i="1" s="1"/>
  <c r="P566" i="1" s="1"/>
  <c r="E567" i="1" a="1"/>
  <c r="E567" i="1" s="1"/>
  <c r="P567" i="1" s="1"/>
  <c r="E568" i="1" a="1"/>
  <c r="E568" i="1" s="1"/>
  <c r="P568" i="1" s="1"/>
  <c r="E569" i="1" a="1"/>
  <c r="E569" i="1" s="1"/>
  <c r="P569" i="1" s="1"/>
  <c r="E570" i="1" a="1"/>
  <c r="E570" i="1" s="1"/>
  <c r="P570" i="1" s="1"/>
  <c r="E571" i="1" a="1"/>
  <c r="E571" i="1" s="1"/>
  <c r="P571" i="1" s="1"/>
  <c r="E572" i="1" a="1"/>
  <c r="E572" i="1" s="1"/>
  <c r="P572" i="1" s="1"/>
  <c r="E573" i="1" a="1"/>
  <c r="E573" i="1" s="1"/>
  <c r="P573" i="1" s="1"/>
  <c r="E574" i="1" a="1"/>
  <c r="E574" i="1" s="1"/>
  <c r="P574" i="1" s="1"/>
  <c r="E575" i="1" a="1"/>
  <c r="E575" i="1" s="1"/>
  <c r="P575" i="1" s="1"/>
  <c r="E576" i="1" a="1"/>
  <c r="E576" i="1" s="1"/>
  <c r="P576" i="1" s="1"/>
  <c r="E577" i="1" a="1"/>
  <c r="E577" i="1" s="1"/>
  <c r="P577" i="1" s="1"/>
  <c r="E578" i="1" a="1"/>
  <c r="E578" i="1" s="1"/>
  <c r="P578" i="1" s="1"/>
  <c r="E579" i="1" a="1"/>
  <c r="E579" i="1" s="1"/>
  <c r="P579" i="1" s="1"/>
  <c r="E580" i="1" a="1"/>
  <c r="E580" i="1" s="1"/>
  <c r="P580" i="1" s="1"/>
  <c r="E581" i="1" a="1"/>
  <c r="E581" i="1" s="1"/>
  <c r="P581" i="1" s="1"/>
  <c r="E582" i="1" a="1"/>
  <c r="E582" i="1" s="1"/>
  <c r="P582" i="1" s="1"/>
  <c r="E583" i="1" a="1"/>
  <c r="E583" i="1" s="1"/>
  <c r="P583" i="1" s="1"/>
  <c r="E584" i="1" a="1"/>
  <c r="E584" i="1" s="1"/>
  <c r="P584" i="1" s="1"/>
  <c r="E585" i="1" a="1"/>
  <c r="E585" i="1" s="1"/>
  <c r="P585" i="1" s="1"/>
  <c r="E586" i="1" a="1"/>
  <c r="E586" i="1" s="1"/>
  <c r="P586" i="1" s="1"/>
  <c r="E587" i="1" a="1"/>
  <c r="E587" i="1" s="1"/>
  <c r="P587" i="1" s="1"/>
  <c r="E588" i="1" a="1"/>
  <c r="E588" i="1" s="1"/>
  <c r="P588" i="1" s="1"/>
  <c r="E589" i="1" a="1"/>
  <c r="E589" i="1" s="1"/>
  <c r="P589" i="1" s="1"/>
  <c r="E590" i="1" a="1"/>
  <c r="E590" i="1" s="1"/>
  <c r="P590" i="1" s="1"/>
  <c r="E591" i="1" a="1"/>
  <c r="E591" i="1"/>
  <c r="P591" i="1" s="1"/>
  <c r="E592" i="1" a="1"/>
  <c r="E592" i="1" s="1"/>
  <c r="P592" i="1" s="1"/>
  <c r="E593" i="1" a="1"/>
  <c r="E593" i="1" s="1"/>
  <c r="P593" i="1" s="1"/>
  <c r="E594" i="1" a="1"/>
  <c r="E594" i="1" s="1"/>
  <c r="P594" i="1" s="1"/>
  <c r="E595" i="1" a="1"/>
  <c r="E595" i="1" s="1"/>
  <c r="P595" i="1" s="1"/>
  <c r="E596" i="1" a="1"/>
  <c r="E596" i="1" s="1"/>
  <c r="P596" i="1" s="1"/>
  <c r="E597" i="1" a="1"/>
  <c r="E597" i="1" s="1"/>
  <c r="P597" i="1" s="1"/>
  <c r="E598" i="1" a="1"/>
  <c r="E598" i="1" s="1"/>
  <c r="P598" i="1" s="1"/>
  <c r="E599" i="1" a="1"/>
  <c r="E599" i="1" s="1"/>
  <c r="P599" i="1" s="1"/>
  <c r="E600" i="1" a="1"/>
  <c r="E600" i="1" s="1"/>
  <c r="P600" i="1" s="1"/>
  <c r="E601" i="1" a="1"/>
  <c r="E601" i="1" s="1"/>
  <c r="P601" i="1" s="1"/>
  <c r="E602" i="1" a="1"/>
  <c r="E602" i="1" s="1"/>
  <c r="P602" i="1" s="1"/>
  <c r="E603" i="1" a="1"/>
  <c r="E603" i="1" s="1"/>
  <c r="P603" i="1" s="1"/>
  <c r="E604" i="1" a="1"/>
  <c r="E604" i="1" s="1"/>
  <c r="P604" i="1" s="1"/>
  <c r="E605" i="1" a="1"/>
  <c r="E605" i="1" s="1"/>
  <c r="P605" i="1" s="1"/>
  <c r="E606" i="1" a="1"/>
  <c r="E606" i="1" s="1"/>
  <c r="P606" i="1" s="1"/>
  <c r="E607" i="1" a="1"/>
  <c r="E607" i="1" s="1"/>
  <c r="P607" i="1" s="1"/>
  <c r="E608" i="1" a="1"/>
  <c r="E608" i="1" s="1"/>
  <c r="P608" i="1" s="1"/>
  <c r="E609" i="1" a="1"/>
  <c r="E609" i="1" s="1"/>
  <c r="P609" i="1" s="1"/>
  <c r="E610" i="1" a="1"/>
  <c r="E610" i="1" s="1"/>
  <c r="P610" i="1" s="1"/>
  <c r="E611" i="1" a="1"/>
  <c r="E611" i="1" s="1"/>
  <c r="P611" i="1" s="1"/>
  <c r="E612" i="1" a="1"/>
  <c r="E612" i="1" s="1"/>
  <c r="P612" i="1" s="1"/>
  <c r="E613" i="1" a="1"/>
  <c r="E613" i="1" s="1"/>
  <c r="P613" i="1" s="1"/>
  <c r="E614" i="1" a="1"/>
  <c r="E614" i="1" s="1"/>
  <c r="P614" i="1" s="1"/>
  <c r="E615" i="1" a="1"/>
  <c r="E615" i="1" s="1"/>
  <c r="P615" i="1" s="1"/>
  <c r="E616" i="1" a="1"/>
  <c r="E616" i="1" s="1"/>
  <c r="P616" i="1" s="1"/>
  <c r="E617" i="1" a="1"/>
  <c r="E617" i="1" s="1"/>
  <c r="P617" i="1" s="1"/>
  <c r="E618" i="1" a="1"/>
  <c r="E618" i="1" s="1"/>
  <c r="P618" i="1" s="1"/>
  <c r="E619" i="1" a="1"/>
  <c r="E619" i="1" s="1"/>
  <c r="P619" i="1" s="1"/>
  <c r="E620" i="1" a="1"/>
  <c r="E620" i="1" s="1"/>
  <c r="P620" i="1" s="1"/>
  <c r="E621" i="1" a="1"/>
  <c r="E621" i="1" s="1"/>
  <c r="P621" i="1" s="1"/>
  <c r="E622" i="1" a="1"/>
  <c r="E622" i="1" s="1"/>
  <c r="P622" i="1" s="1"/>
  <c r="E623" i="1" a="1"/>
  <c r="E623" i="1" s="1"/>
  <c r="P623" i="1" s="1"/>
  <c r="E624" i="1" a="1"/>
  <c r="E624" i="1" s="1"/>
  <c r="P624" i="1" s="1"/>
  <c r="E625" i="1" a="1"/>
  <c r="E625" i="1" s="1"/>
  <c r="P625" i="1" s="1"/>
  <c r="E626" i="1" a="1"/>
  <c r="E626" i="1" s="1"/>
  <c r="P626" i="1" s="1"/>
  <c r="E627" i="1" a="1"/>
  <c r="E627" i="1" s="1"/>
  <c r="P627" i="1" s="1"/>
  <c r="E628" i="1" a="1"/>
  <c r="E628" i="1" s="1"/>
  <c r="P628" i="1" s="1"/>
  <c r="E629" i="1" a="1"/>
  <c r="E629" i="1" s="1"/>
  <c r="P629" i="1" s="1"/>
  <c r="E630" i="1" a="1"/>
  <c r="E630" i="1" s="1"/>
  <c r="P630" i="1" s="1"/>
  <c r="E631" i="1" a="1"/>
  <c r="E631" i="1" s="1"/>
  <c r="P631" i="1" s="1"/>
  <c r="E632" i="1" a="1"/>
  <c r="E632" i="1" s="1"/>
  <c r="P632" i="1" s="1"/>
  <c r="E633" i="1" a="1"/>
  <c r="E633" i="1" s="1"/>
  <c r="P633" i="1" s="1"/>
  <c r="E634" i="1" a="1"/>
  <c r="E634" i="1"/>
  <c r="P634" i="1" s="1"/>
  <c r="E635" i="1" a="1"/>
  <c r="E635" i="1" s="1"/>
  <c r="P635" i="1" s="1"/>
  <c r="E636" i="1" a="1"/>
  <c r="E636" i="1" s="1"/>
  <c r="P636" i="1" s="1"/>
  <c r="E637" i="1" a="1"/>
  <c r="E637" i="1" s="1"/>
  <c r="P637" i="1" s="1"/>
  <c r="E638" i="1" a="1"/>
  <c r="E638" i="1" s="1"/>
  <c r="P638" i="1" s="1"/>
  <c r="E639" i="1" a="1"/>
  <c r="E639" i="1" s="1"/>
  <c r="P639" i="1" s="1"/>
  <c r="E640" i="1" a="1"/>
  <c r="E640" i="1" s="1"/>
  <c r="P640" i="1" s="1"/>
  <c r="E641" i="1" a="1"/>
  <c r="E641" i="1" s="1"/>
  <c r="P641" i="1" s="1"/>
  <c r="E642" i="1" a="1"/>
  <c r="E642" i="1" s="1"/>
  <c r="P642" i="1" s="1"/>
  <c r="E643" i="1" a="1"/>
  <c r="E643" i="1" s="1"/>
  <c r="P643" i="1" s="1"/>
  <c r="E644" i="1" a="1"/>
  <c r="E644" i="1" s="1"/>
  <c r="P644" i="1" s="1"/>
  <c r="E645" i="1" a="1"/>
  <c r="E645" i="1" s="1"/>
  <c r="P645" i="1" s="1"/>
  <c r="E646" i="1" a="1"/>
  <c r="E646" i="1" s="1"/>
  <c r="P646" i="1" s="1"/>
  <c r="E647" i="1" a="1"/>
  <c r="E647" i="1" s="1"/>
  <c r="P647" i="1" s="1"/>
  <c r="E648" i="1" a="1"/>
  <c r="E648" i="1" s="1"/>
  <c r="P648" i="1" s="1"/>
  <c r="E649" i="1" a="1"/>
  <c r="E649" i="1" s="1"/>
  <c r="P649" i="1" s="1"/>
  <c r="E650" i="1" a="1"/>
  <c r="E650" i="1" s="1"/>
  <c r="P650" i="1" s="1"/>
  <c r="E651" i="1" a="1"/>
  <c r="E651" i="1" s="1"/>
  <c r="P651" i="1" s="1"/>
  <c r="E652" i="1" a="1"/>
  <c r="E652" i="1" s="1"/>
  <c r="P652" i="1" s="1"/>
  <c r="E653" i="1" a="1"/>
  <c r="E653" i="1" s="1"/>
  <c r="P653" i="1" s="1"/>
  <c r="E654" i="1" a="1"/>
  <c r="E654" i="1" s="1"/>
  <c r="P654" i="1" s="1"/>
  <c r="E655" i="1" a="1"/>
  <c r="E655" i="1"/>
  <c r="P655" i="1" s="1"/>
  <c r="E656" i="1" a="1"/>
  <c r="E656" i="1" s="1"/>
  <c r="P656" i="1" s="1"/>
  <c r="E657" i="1" a="1"/>
  <c r="E657" i="1" s="1"/>
  <c r="P657" i="1" s="1"/>
  <c r="E658" i="1" a="1"/>
  <c r="E658" i="1" s="1"/>
  <c r="P658" i="1" s="1"/>
  <c r="E659" i="1" a="1"/>
  <c r="E659" i="1" s="1"/>
  <c r="P659" i="1" s="1"/>
  <c r="E660" i="1" a="1"/>
  <c r="E660" i="1" s="1"/>
  <c r="P660" i="1" s="1"/>
  <c r="E661" i="1" a="1"/>
  <c r="E661" i="1" s="1"/>
  <c r="P661" i="1" s="1"/>
  <c r="E662" i="1" a="1"/>
  <c r="E662" i="1" s="1"/>
  <c r="P662" i="1" s="1"/>
  <c r="E663" i="1" a="1"/>
  <c r="E663" i="1" s="1"/>
  <c r="P663" i="1" s="1"/>
  <c r="E664" i="1" a="1"/>
  <c r="E664" i="1" s="1"/>
  <c r="P664" i="1" s="1"/>
  <c r="E665" i="1" a="1"/>
  <c r="E665" i="1" s="1"/>
  <c r="P665" i="1" s="1"/>
  <c r="E666" i="1" a="1"/>
  <c r="E666" i="1" s="1"/>
  <c r="P666" i="1" s="1"/>
  <c r="E667" i="1" a="1"/>
  <c r="E667" i="1" s="1"/>
  <c r="P667" i="1" s="1"/>
  <c r="E668" i="1" a="1"/>
  <c r="E668" i="1" s="1"/>
  <c r="P668" i="1" s="1"/>
  <c r="E669" i="1" a="1"/>
  <c r="E669" i="1" s="1"/>
  <c r="P669" i="1" s="1"/>
  <c r="E670" i="1" a="1"/>
  <c r="E670" i="1" s="1"/>
  <c r="P670" i="1" s="1"/>
  <c r="E671" i="1" a="1"/>
  <c r="E671" i="1" s="1"/>
  <c r="P671" i="1" s="1"/>
  <c r="E672" i="1" a="1"/>
  <c r="E672" i="1" s="1"/>
  <c r="P672" i="1" s="1"/>
  <c r="E673" i="1" a="1"/>
  <c r="E673" i="1" s="1"/>
  <c r="P673" i="1" s="1"/>
  <c r="E674" i="1" a="1"/>
  <c r="E674" i="1" s="1"/>
  <c r="P674" i="1" s="1"/>
  <c r="E675" i="1" a="1"/>
  <c r="E675" i="1" s="1"/>
  <c r="P675" i="1" s="1"/>
  <c r="E676" i="1" a="1"/>
  <c r="E676" i="1" s="1"/>
  <c r="P676" i="1" s="1"/>
  <c r="E677" i="1" a="1"/>
  <c r="E677" i="1" s="1"/>
  <c r="P677" i="1" s="1"/>
  <c r="E678" i="1" a="1"/>
  <c r="E678" i="1" s="1"/>
  <c r="P678" i="1" s="1"/>
  <c r="E679" i="1" a="1"/>
  <c r="E679" i="1" s="1"/>
  <c r="P679" i="1" s="1"/>
  <c r="E680" i="1" a="1"/>
  <c r="E680" i="1" s="1"/>
  <c r="P680" i="1" s="1"/>
  <c r="E681" i="1" a="1"/>
  <c r="E681" i="1" s="1"/>
  <c r="P681" i="1" s="1"/>
  <c r="E682" i="1" a="1"/>
  <c r="E682" i="1" s="1"/>
  <c r="P682" i="1" s="1"/>
  <c r="E683" i="1" a="1"/>
  <c r="E683" i="1" s="1"/>
  <c r="P683" i="1" s="1"/>
  <c r="E684" i="1" a="1"/>
  <c r="E684" i="1" s="1"/>
  <c r="P684" i="1" s="1"/>
  <c r="E685" i="1" a="1"/>
  <c r="E685" i="1" s="1"/>
  <c r="P685" i="1" s="1"/>
  <c r="E686" i="1" a="1"/>
  <c r="E686" i="1" s="1"/>
  <c r="P686" i="1" s="1"/>
  <c r="E687" i="1" a="1"/>
  <c r="E687" i="1" s="1"/>
  <c r="P687" i="1" s="1"/>
  <c r="E688" i="1" a="1"/>
  <c r="E688" i="1" s="1"/>
  <c r="P688" i="1" s="1"/>
  <c r="E689" i="1" a="1"/>
  <c r="E689" i="1" s="1"/>
  <c r="P689" i="1" s="1"/>
  <c r="E690" i="1" a="1"/>
  <c r="E690" i="1" s="1"/>
  <c r="P690" i="1" s="1"/>
  <c r="E691" i="1" a="1"/>
  <c r="E691" i="1" s="1"/>
  <c r="P691" i="1" s="1"/>
  <c r="E692" i="1" a="1"/>
  <c r="E692" i="1" s="1"/>
  <c r="P692" i="1" s="1"/>
  <c r="E693" i="1" a="1"/>
  <c r="E693" i="1" s="1"/>
  <c r="P693" i="1" s="1"/>
  <c r="E694" i="1" a="1"/>
  <c r="E694" i="1" s="1"/>
  <c r="P694" i="1" s="1"/>
  <c r="E695" i="1" a="1"/>
  <c r="E695" i="1" s="1"/>
  <c r="P695" i="1" s="1"/>
  <c r="E696" i="1" a="1"/>
  <c r="E696" i="1" s="1"/>
  <c r="P696" i="1" s="1"/>
  <c r="E697" i="1" a="1"/>
  <c r="E697" i="1" s="1"/>
  <c r="P697" i="1" s="1"/>
  <c r="E698" i="1" a="1"/>
  <c r="E698" i="1"/>
  <c r="P698" i="1" s="1"/>
  <c r="E699" i="1" a="1"/>
  <c r="E699" i="1" s="1"/>
  <c r="P699" i="1" s="1"/>
  <c r="E700" i="1" a="1"/>
  <c r="E700" i="1" s="1"/>
  <c r="P700" i="1" s="1"/>
  <c r="E701" i="1" a="1"/>
  <c r="E701" i="1" s="1"/>
  <c r="P701" i="1" s="1"/>
  <c r="E702" i="1" a="1"/>
  <c r="E702" i="1" s="1"/>
  <c r="P702" i="1" s="1"/>
  <c r="E703" i="1" a="1"/>
  <c r="E703" i="1" s="1"/>
  <c r="P703" i="1" s="1"/>
  <c r="E704" i="1" a="1"/>
  <c r="E704" i="1" s="1"/>
  <c r="P704" i="1" s="1"/>
  <c r="E705" i="1" a="1"/>
  <c r="E705" i="1" s="1"/>
  <c r="P705" i="1" s="1"/>
  <c r="E706" i="1" a="1"/>
  <c r="E706" i="1" s="1"/>
  <c r="P706" i="1" s="1"/>
  <c r="E707" i="1" a="1"/>
  <c r="E707" i="1" s="1"/>
  <c r="P707" i="1" s="1"/>
  <c r="E708" i="1" a="1"/>
  <c r="E708" i="1" s="1"/>
  <c r="P708" i="1" s="1"/>
  <c r="E709" i="1" a="1"/>
  <c r="E709" i="1" s="1"/>
  <c r="P709" i="1" s="1"/>
  <c r="E710" i="1" a="1"/>
  <c r="E710" i="1" s="1"/>
  <c r="P710" i="1" s="1"/>
  <c r="E711" i="1" a="1"/>
  <c r="E711" i="1" s="1"/>
  <c r="P711" i="1" s="1"/>
  <c r="E712" i="1" a="1"/>
  <c r="E712" i="1" s="1"/>
  <c r="P712" i="1" s="1"/>
  <c r="E713" i="1" a="1"/>
  <c r="E713" i="1" s="1"/>
  <c r="P713" i="1" s="1"/>
  <c r="E714" i="1" a="1"/>
  <c r="E714" i="1" s="1"/>
  <c r="P714" i="1" s="1"/>
  <c r="E715" i="1" a="1"/>
  <c r="E715" i="1" s="1"/>
  <c r="P715" i="1" s="1"/>
  <c r="E716" i="1" a="1"/>
  <c r="E716" i="1" s="1"/>
  <c r="P716" i="1" s="1"/>
  <c r="E717" i="1" a="1"/>
  <c r="E717" i="1" s="1"/>
  <c r="P717" i="1" s="1"/>
  <c r="E718" i="1" a="1"/>
  <c r="E718" i="1" s="1"/>
  <c r="P718" i="1" s="1"/>
  <c r="E719" i="1" a="1"/>
  <c r="E719" i="1"/>
  <c r="P719" i="1" s="1"/>
  <c r="E720" i="1" a="1"/>
  <c r="E720" i="1" s="1"/>
  <c r="P720" i="1" s="1"/>
  <c r="E721" i="1" a="1"/>
  <c r="E721" i="1" s="1"/>
  <c r="P721" i="1" s="1"/>
  <c r="E722" i="1" a="1"/>
  <c r="E722" i="1" s="1"/>
  <c r="P722" i="1" s="1"/>
  <c r="E723" i="1" a="1"/>
  <c r="E723" i="1" s="1"/>
  <c r="P723" i="1" s="1"/>
  <c r="E724" i="1" a="1"/>
  <c r="E724" i="1" s="1"/>
  <c r="P724" i="1" s="1"/>
  <c r="E725" i="1" a="1"/>
  <c r="E725" i="1" s="1"/>
  <c r="P725" i="1" s="1"/>
  <c r="E726" i="1" a="1"/>
  <c r="E726" i="1" s="1"/>
  <c r="P726" i="1" s="1"/>
  <c r="E727" i="1" a="1"/>
  <c r="E727" i="1" s="1"/>
  <c r="P727" i="1" s="1"/>
  <c r="E728" i="1" a="1"/>
  <c r="E728" i="1" s="1"/>
  <c r="P728" i="1" s="1"/>
  <c r="E729" i="1" a="1"/>
  <c r="E729" i="1" s="1"/>
  <c r="P729" i="1" s="1"/>
  <c r="E730" i="1" a="1"/>
  <c r="E730" i="1" s="1"/>
  <c r="P730" i="1" s="1"/>
  <c r="E731" i="1" a="1"/>
  <c r="E731" i="1" s="1"/>
  <c r="P731" i="1" s="1"/>
  <c r="E732" i="1" a="1"/>
  <c r="E732" i="1" s="1"/>
  <c r="P732" i="1" s="1"/>
  <c r="E733" i="1" a="1"/>
  <c r="E733" i="1" s="1"/>
  <c r="P733" i="1" s="1"/>
  <c r="E734" i="1" a="1"/>
  <c r="E734" i="1" s="1"/>
  <c r="P734" i="1" s="1"/>
  <c r="E735" i="1" a="1"/>
  <c r="E735" i="1" s="1"/>
  <c r="P735" i="1" s="1"/>
  <c r="E736" i="1" a="1"/>
  <c r="E736" i="1" s="1"/>
  <c r="P736" i="1" s="1"/>
  <c r="E737" i="1" a="1"/>
  <c r="E737" i="1" s="1"/>
  <c r="P737" i="1" s="1"/>
  <c r="E738" i="1" a="1"/>
  <c r="E738" i="1" s="1"/>
  <c r="P738" i="1" s="1"/>
  <c r="E739" i="1" a="1"/>
  <c r="E739" i="1" s="1"/>
  <c r="P739" i="1" s="1"/>
  <c r="E740" i="1" a="1"/>
  <c r="E740" i="1" s="1"/>
  <c r="P740" i="1" s="1"/>
  <c r="E741" i="1" a="1"/>
  <c r="E741" i="1" s="1"/>
  <c r="P741" i="1" s="1"/>
  <c r="E742" i="1" a="1"/>
  <c r="E742" i="1" s="1"/>
  <c r="P742" i="1" s="1"/>
  <c r="E743" i="1" a="1"/>
  <c r="E743" i="1" s="1"/>
  <c r="P743" i="1" s="1"/>
  <c r="E744" i="1" a="1"/>
  <c r="E744" i="1" s="1"/>
  <c r="P744" i="1" s="1"/>
  <c r="E745" i="1" a="1"/>
  <c r="E745" i="1" s="1"/>
  <c r="P745" i="1" s="1"/>
  <c r="E746" i="1" a="1"/>
  <c r="E746" i="1" s="1"/>
  <c r="P746" i="1" s="1"/>
  <c r="E747" i="1" a="1"/>
  <c r="E747" i="1" s="1"/>
  <c r="P747" i="1" s="1"/>
  <c r="E748" i="1" a="1"/>
  <c r="E748" i="1" s="1"/>
  <c r="P748" i="1" s="1"/>
  <c r="E749" i="1" a="1"/>
  <c r="E749" i="1" s="1"/>
  <c r="P749" i="1" s="1"/>
  <c r="E750" i="1" a="1"/>
  <c r="E750" i="1" s="1"/>
  <c r="P750" i="1" s="1"/>
  <c r="E751" i="1" a="1"/>
  <c r="E751" i="1" s="1"/>
  <c r="P751" i="1" s="1"/>
  <c r="E752" i="1" a="1"/>
  <c r="E752" i="1" s="1"/>
  <c r="P752" i="1" s="1"/>
  <c r="E753" i="1" a="1"/>
  <c r="E753" i="1" s="1"/>
  <c r="P753" i="1" s="1"/>
  <c r="E754" i="1" a="1"/>
  <c r="E754" i="1" s="1"/>
  <c r="P754" i="1" s="1"/>
  <c r="E755" i="1" a="1"/>
  <c r="E755" i="1" s="1"/>
  <c r="P755" i="1" s="1"/>
  <c r="E756" i="1" a="1"/>
  <c r="E756" i="1" s="1"/>
  <c r="P756" i="1" s="1"/>
  <c r="E757" i="1" a="1"/>
  <c r="E757" i="1" s="1"/>
  <c r="P757" i="1" s="1"/>
  <c r="E758" i="1" a="1"/>
  <c r="E758" i="1" s="1"/>
  <c r="P758" i="1" s="1"/>
  <c r="E759" i="1" a="1"/>
  <c r="E759" i="1" s="1"/>
  <c r="P759" i="1" s="1"/>
  <c r="E760" i="1" a="1"/>
  <c r="E760" i="1" s="1"/>
  <c r="P760" i="1" s="1"/>
  <c r="E761" i="1" a="1"/>
  <c r="E761" i="1" s="1"/>
  <c r="P761" i="1" s="1"/>
  <c r="E762" i="1" a="1"/>
  <c r="E762" i="1"/>
  <c r="P762" i="1" s="1"/>
  <c r="E763" i="1" a="1"/>
  <c r="E763" i="1" s="1"/>
  <c r="P763" i="1" s="1"/>
  <c r="E764" i="1" a="1"/>
  <c r="E764" i="1" s="1"/>
  <c r="P764" i="1" s="1"/>
  <c r="E765" i="1" a="1"/>
  <c r="E765" i="1" s="1"/>
  <c r="P765" i="1" s="1"/>
  <c r="E766" i="1" a="1"/>
  <c r="E766" i="1" s="1"/>
  <c r="P766" i="1" s="1"/>
  <c r="E767" i="1" a="1"/>
  <c r="E767" i="1" s="1"/>
  <c r="P767" i="1" s="1"/>
  <c r="E768" i="1" a="1"/>
  <c r="E768" i="1" s="1"/>
  <c r="P768" i="1" s="1"/>
  <c r="E769" i="1" a="1"/>
  <c r="E769" i="1" s="1"/>
  <c r="P769" i="1" s="1"/>
  <c r="E770" i="1" a="1"/>
  <c r="E770" i="1" s="1"/>
  <c r="P770" i="1" s="1"/>
  <c r="E771" i="1" a="1"/>
  <c r="E771" i="1" s="1"/>
  <c r="P771" i="1" s="1"/>
  <c r="E772" i="1" a="1"/>
  <c r="E772" i="1" s="1"/>
  <c r="P772" i="1" s="1"/>
  <c r="E773" i="1" a="1"/>
  <c r="E773" i="1" s="1"/>
  <c r="P773" i="1" s="1"/>
  <c r="E774" i="1" a="1"/>
  <c r="E774" i="1" s="1"/>
  <c r="P774" i="1" s="1"/>
  <c r="E775" i="1" a="1"/>
  <c r="E775" i="1" s="1"/>
  <c r="P775" i="1" s="1"/>
  <c r="E776" i="1" a="1"/>
  <c r="E776" i="1" s="1"/>
  <c r="P776" i="1" s="1"/>
  <c r="E777" i="1" a="1"/>
  <c r="E777" i="1" s="1"/>
  <c r="P777" i="1" s="1"/>
  <c r="E778" i="1" a="1"/>
  <c r="E778" i="1" s="1"/>
  <c r="P778" i="1" s="1"/>
  <c r="E779" i="1" a="1"/>
  <c r="E779" i="1" s="1"/>
  <c r="P779" i="1" s="1"/>
  <c r="E780" i="1" a="1"/>
  <c r="E780" i="1" s="1"/>
  <c r="P780" i="1" s="1"/>
  <c r="E781" i="1" a="1"/>
  <c r="E781" i="1" s="1"/>
  <c r="P781" i="1" s="1"/>
  <c r="E782" i="1" a="1"/>
  <c r="E782" i="1" s="1"/>
  <c r="P782" i="1" s="1"/>
  <c r="E783" i="1" a="1"/>
  <c r="E783" i="1"/>
  <c r="P783" i="1" s="1"/>
  <c r="E784" i="1" a="1"/>
  <c r="E784" i="1" s="1"/>
  <c r="P784" i="1" s="1"/>
  <c r="E785" i="1" a="1"/>
  <c r="E785" i="1" s="1"/>
  <c r="P785" i="1" s="1"/>
  <c r="E786" i="1" a="1"/>
  <c r="E786" i="1" s="1"/>
  <c r="P786" i="1" s="1"/>
  <c r="E787" i="1" a="1"/>
  <c r="E787" i="1" s="1"/>
  <c r="P787" i="1" s="1"/>
  <c r="E788" i="1" a="1"/>
  <c r="E788" i="1" s="1"/>
  <c r="P788" i="1" s="1"/>
  <c r="E789" i="1" a="1"/>
  <c r="E789" i="1" s="1"/>
  <c r="P789" i="1" s="1"/>
  <c r="E790" i="1" a="1"/>
  <c r="E790" i="1" s="1"/>
  <c r="P790" i="1" s="1"/>
  <c r="E791" i="1" a="1"/>
  <c r="E791" i="1" s="1"/>
  <c r="P791" i="1" s="1"/>
  <c r="E792" i="1" a="1"/>
  <c r="E792" i="1" s="1"/>
  <c r="P792" i="1" s="1"/>
  <c r="E793" i="1" a="1"/>
  <c r="E793" i="1" s="1"/>
  <c r="P793" i="1" s="1"/>
  <c r="E794" i="1" a="1"/>
  <c r="E794" i="1" s="1"/>
  <c r="P794" i="1" s="1"/>
  <c r="E795" i="1" a="1"/>
  <c r="E795" i="1" s="1"/>
  <c r="P795" i="1" s="1"/>
  <c r="E796" i="1" a="1"/>
  <c r="E796" i="1" s="1"/>
  <c r="P796" i="1" s="1"/>
  <c r="E797" i="1" a="1"/>
  <c r="E797" i="1" s="1"/>
  <c r="P797" i="1" s="1"/>
  <c r="E798" i="1" a="1"/>
  <c r="E798" i="1" s="1"/>
  <c r="P798" i="1" s="1"/>
  <c r="E799" i="1" a="1"/>
  <c r="E799" i="1" s="1"/>
  <c r="P799" i="1" s="1"/>
  <c r="E800" i="1" a="1"/>
  <c r="E800" i="1" s="1"/>
  <c r="P800" i="1" s="1"/>
  <c r="E801" i="1" a="1"/>
  <c r="E801" i="1" s="1"/>
  <c r="P801" i="1" s="1"/>
  <c r="E802" i="1" a="1"/>
  <c r="E802" i="1" s="1"/>
  <c r="P802" i="1" s="1"/>
  <c r="E803" i="1" a="1"/>
  <c r="E803" i="1" s="1"/>
  <c r="P803" i="1" s="1"/>
  <c r="E804" i="1" a="1"/>
  <c r="E804" i="1" s="1"/>
  <c r="P804" i="1" s="1"/>
  <c r="E805" i="1" a="1"/>
  <c r="E805" i="1" s="1"/>
  <c r="P805" i="1" s="1"/>
  <c r="E806" i="1" a="1"/>
  <c r="E806" i="1" s="1"/>
  <c r="P806" i="1" s="1"/>
  <c r="E807" i="1" a="1"/>
  <c r="E807" i="1" s="1"/>
  <c r="P807" i="1" s="1"/>
  <c r="E808" i="1" a="1"/>
  <c r="E808" i="1" s="1"/>
  <c r="P808" i="1" s="1"/>
  <c r="E809" i="1" a="1"/>
  <c r="E809" i="1" s="1"/>
  <c r="P809" i="1" s="1"/>
  <c r="E810" i="1" a="1"/>
  <c r="E810" i="1" s="1"/>
  <c r="P810" i="1" s="1"/>
  <c r="E811" i="1" a="1"/>
  <c r="E811" i="1" s="1"/>
  <c r="P811" i="1" s="1"/>
  <c r="E812" i="1" a="1"/>
  <c r="E812" i="1" s="1"/>
  <c r="P812" i="1" s="1"/>
  <c r="E813" i="1" a="1"/>
  <c r="E813" i="1" s="1"/>
  <c r="P813" i="1" s="1"/>
  <c r="E814" i="1" a="1"/>
  <c r="E814" i="1"/>
  <c r="P814" i="1" s="1"/>
  <c r="E815" i="1" a="1"/>
  <c r="E815" i="1"/>
  <c r="P815" i="1" s="1"/>
  <c r="E816" i="1" a="1"/>
  <c r="E816" i="1" s="1"/>
  <c r="P816" i="1" s="1"/>
  <c r="E817" i="1" a="1"/>
  <c r="E817" i="1" s="1"/>
  <c r="P817" i="1" s="1"/>
  <c r="E818" i="1" a="1"/>
  <c r="E818" i="1" s="1"/>
  <c r="P818" i="1" s="1"/>
  <c r="E819" i="1" a="1"/>
  <c r="E819" i="1" s="1"/>
  <c r="P819" i="1" s="1"/>
  <c r="E820" i="1" a="1"/>
  <c r="E820" i="1" s="1"/>
  <c r="P820" i="1" s="1"/>
  <c r="E821" i="1" a="1"/>
  <c r="E821" i="1" s="1"/>
  <c r="P821" i="1" s="1"/>
  <c r="E822" i="1" a="1"/>
  <c r="E822" i="1" s="1"/>
  <c r="P822" i="1" s="1"/>
  <c r="E823" i="1" a="1"/>
  <c r="E823" i="1" s="1"/>
  <c r="P823" i="1" s="1"/>
  <c r="E824" i="1" a="1"/>
  <c r="E824" i="1" s="1"/>
  <c r="P824" i="1" s="1"/>
  <c r="E825" i="1" a="1"/>
  <c r="E825" i="1" s="1"/>
  <c r="P825" i="1" s="1"/>
  <c r="E826" i="1" a="1"/>
  <c r="E826" i="1" s="1"/>
  <c r="P826" i="1" s="1"/>
  <c r="E827" i="1" a="1"/>
  <c r="E827" i="1" s="1"/>
  <c r="P827" i="1" s="1"/>
  <c r="E828" i="1" a="1"/>
  <c r="E828" i="1" s="1"/>
  <c r="P828" i="1" s="1"/>
  <c r="E829" i="1" a="1"/>
  <c r="E829" i="1" s="1"/>
  <c r="P829" i="1" s="1"/>
  <c r="E830" i="1" a="1"/>
  <c r="E830" i="1"/>
  <c r="P830" i="1" s="1"/>
  <c r="E831" i="1" a="1"/>
  <c r="E831" i="1"/>
  <c r="P831" i="1" s="1"/>
  <c r="E832" i="1" a="1"/>
  <c r="E832" i="1" s="1"/>
  <c r="P832" i="1" s="1"/>
  <c r="E833" i="1" a="1"/>
  <c r="E833" i="1" s="1"/>
  <c r="P833" i="1" s="1"/>
  <c r="E834" i="1" a="1"/>
  <c r="E834" i="1" s="1"/>
  <c r="P834" i="1" s="1"/>
  <c r="E2" i="1" a="1"/>
  <c r="E2" i="1" s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<sst xmlns="http://schemas.openxmlformats.org/spreadsheetml/2006/main" count="8394" uniqueCount="66">
  <si>
    <t>Country</t>
  </si>
  <si>
    <t>Gender</t>
  </si>
  <si>
    <t>Latitude</t>
  </si>
  <si>
    <t>Longitude</t>
  </si>
  <si>
    <t>Poland</t>
  </si>
  <si>
    <t>Szefu</t>
  </si>
  <si>
    <t>Anne Anthony</t>
  </si>
  <si>
    <t>Hungary</t>
  </si>
  <si>
    <t>Basia</t>
  </si>
  <si>
    <t>Lolek</t>
  </si>
  <si>
    <t>Unknown</t>
  </si>
  <si>
    <t>Germany</t>
  </si>
  <si>
    <t>Bob Bobson</t>
  </si>
  <si>
    <t>Slovakia</t>
  </si>
  <si>
    <t>John Johnson</t>
  </si>
  <si>
    <t>Czech Republic</t>
  </si>
  <si>
    <t>Lola</t>
  </si>
  <si>
    <t>Austria</t>
  </si>
  <si>
    <t>Klucha</t>
  </si>
  <si>
    <t>Zuzia</t>
  </si>
  <si>
    <t>Bibi</t>
  </si>
  <si>
    <t>Sissi</t>
  </si>
  <si>
    <t>Puchatek</t>
  </si>
  <si>
    <t>James Johnson</t>
  </si>
  <si>
    <t>S No</t>
  </si>
  <si>
    <t>Animal Type</t>
  </si>
  <si>
    <t>Weight In KG</t>
  </si>
  <si>
    <t>European Bison</t>
  </si>
  <si>
    <t>Lynx</t>
  </si>
  <si>
    <t>Red Squirrel</t>
  </si>
  <si>
    <t>Hedgehog</t>
  </si>
  <si>
    <t>Body Length In CM</t>
  </si>
  <si>
    <t>Male</t>
  </si>
  <si>
    <t>Female</t>
  </si>
  <si>
    <t>Location Status</t>
  </si>
  <si>
    <t>Animal Name</t>
  </si>
  <si>
    <t>Observation Date</t>
  </si>
  <si>
    <t>Data Compiled By</t>
  </si>
  <si>
    <t>Observation Month</t>
  </si>
  <si>
    <t>Weight Category</t>
  </si>
  <si>
    <t>Body Length Category</t>
  </si>
  <si>
    <t>Data Quality Status</t>
  </si>
  <si>
    <t>Row Labels</t>
  </si>
  <si>
    <t>Grand Total</t>
  </si>
  <si>
    <t>Count of Animal Type</t>
  </si>
  <si>
    <t>Country Analysis</t>
  </si>
  <si>
    <t>Animal Analysis</t>
  </si>
  <si>
    <t>Light</t>
  </si>
  <si>
    <t>Medium</t>
  </si>
  <si>
    <t>Very Heavy</t>
  </si>
  <si>
    <t>Weight Analysis</t>
  </si>
  <si>
    <t>Gender Analysis</t>
  </si>
  <si>
    <t>Animal_type</t>
  </si>
  <si>
    <t>Weight_in_kg</t>
  </si>
  <si>
    <t>Body_length_in_cm</t>
  </si>
  <si>
    <t>Animal_name</t>
  </si>
  <si>
    <t>Observation_date</t>
  </si>
  <si>
    <t>Data_compiled_by</t>
  </si>
  <si>
    <t>European bison</t>
  </si>
  <si>
    <t>male</t>
  </si>
  <si>
    <t>not determined</t>
  </si>
  <si>
    <t>unknown</t>
  </si>
  <si>
    <t>female</t>
  </si>
  <si>
    <t>lynx</t>
  </si>
  <si>
    <t>red squirrel</t>
  </si>
  <si>
    <t>hedgehog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</si>
</sst>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5.064607523149" createdVersion="8" refreshedVersion="8" minRefreshableVersion="3" recordCount="833" xr:uid="{BCAAF332-584A-482E-A71A-342D575B1E1B}">
  <cacheSource type="worksheet">
    <worksheetSource ref="A1:P834" sheet="Clean Animal Data"/>
  </cacheSource>
  <cacheFields count="16">
    <cacheField name="S No" numFmtId="0">
      <sharedItems containsSemiMixedTypes="0" containsString="0" containsNumber="1" containsInteger="1" minValue="1" maxValue="833"/>
    </cacheField>
    <cacheField name="Animal Type" numFmtId="0">
      <sharedItems count="4">
        <s v="European Bison"/>
        <s v="Lynx"/>
        <s v="Red Squirrel"/>
        <s v="Hedgehog"/>
      </sharedItems>
    </cacheField>
    <cacheField name="Country" numFmtId="0">
      <sharedItems count="6">
        <s v="Poland"/>
        <s v="Hungary"/>
        <s v="Germany"/>
        <s v="Slovakia"/>
        <s v="Czech Republic"/>
        <s v="Austria"/>
      </sharedItems>
    </cacheField>
    <cacheField name="Weight In KG" numFmtId="2">
      <sharedItems containsSemiMixedTypes="0" containsString="0" containsNumber="1" minValue="0.2" maxValue="1100"/>
    </cacheField>
    <cacheField name="Weight Category" numFmtId="2">
      <sharedItems count="3">
        <s v="Very Heavy"/>
        <s v="Medium"/>
        <s v="Light"/>
      </sharedItems>
    </cacheField>
    <cacheField name="Body Length In CM" numFmtId="0">
      <sharedItems containsSemiMixedTypes="0" containsString="0" containsNumber="1" minValue="11" maxValue="350"/>
    </cacheField>
    <cacheField name="Body Length Category" numFmtId="0">
      <sharedItems/>
    </cacheField>
    <cacheField name="Gender" numFmtId="0">
      <sharedItems count="3">
        <s v="Male"/>
        <s v="Unknown"/>
        <s v="Female"/>
      </sharedItems>
    </cacheField>
    <cacheField name="Latitude" numFmtId="0">
      <sharedItems containsString="0" containsBlank="1" containsNumber="1" minValue="47.316383000000002" maxValue="52.853842999999998"/>
    </cacheField>
    <cacheField name="Longitude" numFmtId="0">
      <sharedItems containsString="0" containsBlank="1" containsNumber="1" minValue="11.074007999999999" maxValue="23.919668000000001"/>
    </cacheField>
    <cacheField name="Location Status" numFmtId="0">
      <sharedItems/>
    </cacheField>
    <cacheField name="Animal Name" numFmtId="0">
      <sharedItems count="10">
        <s v="Szefu"/>
        <s v="Unknown"/>
        <s v="Basia"/>
        <s v="Lolek"/>
        <s v="Lola"/>
        <s v="Klucha"/>
        <s v="Zuzia"/>
        <s v="Bibi"/>
        <s v="Sissi"/>
        <s v="Puchatek"/>
      </sharedItems>
    </cacheField>
    <cacheField name="Observation Date" numFmtId="14">
      <sharedItems containsSemiMixedTypes="0" containsNonDate="0" containsDate="1" containsString="0" minDate="2024-03-01T00:00:00" maxDate="2024-07-01T00:00:00"/>
    </cacheField>
    <cacheField name="Observation Month" numFmtId="14">
      <sharedItems/>
    </cacheField>
    <cacheField name="Data Compiled By" numFmtId="0">
      <sharedItems/>
    </cacheField>
    <cacheField name="Data Qualit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3">
  <r>
    <n v="1"/>
    <x v="0"/>
    <x v="0"/>
    <n v="930"/>
    <x v="0"/>
    <n v="335"/>
    <s v="Very Large"/>
    <x v="0"/>
    <n v="52.828845000000001"/>
    <n v="23.820143999999999"/>
    <s v="Available"/>
    <x v="0"/>
    <d v="2024-03-01T00:00:00"/>
    <s v="March"/>
    <s v="Anne Anthony"/>
    <s v="OK"/>
  </r>
  <r>
    <n v="2"/>
    <x v="0"/>
    <x v="0"/>
    <n v="909"/>
    <x v="0"/>
    <n v="311"/>
    <s v="Very Large"/>
    <x v="1"/>
    <n v="52.830508999999999"/>
    <n v="23.826848999999999"/>
    <s v="Available"/>
    <x v="1"/>
    <d v="2024-03-01T00:00:00"/>
    <s v="March"/>
    <s v="Anne Anthony"/>
    <s v="OK"/>
  </r>
  <r>
    <n v="3"/>
    <x v="0"/>
    <x v="0"/>
    <n v="581"/>
    <x v="0"/>
    <n v="277"/>
    <s v="Very Large"/>
    <x v="2"/>
    <n v="52.834108999999998"/>
    <n v="23.807092999999998"/>
    <s v="Available"/>
    <x v="1"/>
    <d v="2024-03-01T00:00:00"/>
    <s v="March"/>
    <s v="Anne Anthony"/>
    <s v="OK"/>
  </r>
  <r>
    <n v="4"/>
    <x v="0"/>
    <x v="0"/>
    <n v="900"/>
    <x v="0"/>
    <n v="295"/>
    <s v="Very Large"/>
    <x v="0"/>
    <n v="52.834758999999998"/>
    <n v="23.817201000000001"/>
    <s v="Available"/>
    <x v="1"/>
    <d v="2024-03-01T00:00:00"/>
    <s v="March"/>
    <s v="Anne Anthony"/>
    <s v="OK"/>
  </r>
  <r>
    <n v="5"/>
    <x v="0"/>
    <x v="0"/>
    <n v="620"/>
    <x v="0"/>
    <n v="250"/>
    <s v="Very Large"/>
    <x v="2"/>
    <n v="52.834960000000002"/>
    <n v="23.82075"/>
    <s v="Available"/>
    <x v="1"/>
    <d v="2024-03-01T00:00:00"/>
    <s v="March"/>
    <s v="Anne Anthony"/>
    <s v="OK"/>
  </r>
  <r>
    <n v="6"/>
    <x v="1"/>
    <x v="1"/>
    <n v="24"/>
    <x v="1"/>
    <n v="76"/>
    <s v="Medium"/>
    <x v="0"/>
    <n v="48.505493999999999"/>
    <n v="20.551966"/>
    <s v="Available"/>
    <x v="1"/>
    <d v="2024-03-01T00:00:00"/>
    <s v="March"/>
    <s v="Anne Anthony"/>
    <s v="OK"/>
  </r>
  <r>
    <n v="7"/>
    <x v="1"/>
    <x v="1"/>
    <n v="23"/>
    <x v="1"/>
    <n v="82"/>
    <s v="Medium"/>
    <x v="2"/>
    <n v="48.506529"/>
    <n v="20.554548"/>
    <s v="Available"/>
    <x v="1"/>
    <d v="2024-03-01T00:00:00"/>
    <s v="March"/>
    <s v="Anne Anthony"/>
    <s v="OK"/>
  </r>
  <r>
    <n v="8"/>
    <x v="2"/>
    <x v="0"/>
    <n v="0.308"/>
    <x v="2"/>
    <n v="22"/>
    <s v="Small"/>
    <x v="2"/>
    <n v="52.241273"/>
    <n v="21.055745000000002"/>
    <s v="Available"/>
    <x v="2"/>
    <d v="2024-03-01T00:00:00"/>
    <s v="March"/>
    <s v="Anne Anthony"/>
    <s v="OK"/>
  </r>
  <r>
    <n v="9"/>
    <x v="2"/>
    <x v="0"/>
    <n v="0.34799999999999998"/>
    <x v="2"/>
    <n v="20"/>
    <s v="Small"/>
    <x v="2"/>
    <n v="52.242060000000002"/>
    <n v="21.057801999999999"/>
    <s v="Available"/>
    <x v="1"/>
    <d v="2024-03-01T00:00:00"/>
    <s v="March"/>
    <s v="Anne Anthony"/>
    <s v="OK"/>
  </r>
  <r>
    <n v="10"/>
    <x v="2"/>
    <x v="0"/>
    <n v="0.316"/>
    <x v="2"/>
    <n v="20"/>
    <s v="Small"/>
    <x v="0"/>
    <n v="52.240034999999999"/>
    <n v="21.056187999999999"/>
    <s v="Available"/>
    <x v="3"/>
    <d v="2024-03-01T00:00:00"/>
    <s v="March"/>
    <s v="Anne Anthony"/>
    <s v="OK"/>
  </r>
  <r>
    <n v="11"/>
    <x v="2"/>
    <x v="0"/>
    <n v="0.34"/>
    <x v="2"/>
    <n v="21"/>
    <s v="Small"/>
    <x v="1"/>
    <n v="52.240284000000003"/>
    <n v="21.051947999999999"/>
    <s v="Available"/>
    <x v="1"/>
    <d v="2024-03-01T00:00:00"/>
    <s v="March"/>
    <s v="Anne Anthony"/>
    <s v="OK"/>
  </r>
  <r>
    <n v="12"/>
    <x v="2"/>
    <x v="0"/>
    <n v="0.33300000000000002"/>
    <x v="2"/>
    <n v="21"/>
    <s v="Small"/>
    <x v="0"/>
    <m/>
    <m/>
    <s v="Missing Location"/>
    <x v="1"/>
    <d v="2024-03-01T00:00:00"/>
    <s v="March"/>
    <s v="Anne Anthony"/>
    <s v="Needs Review"/>
  </r>
  <r>
    <n v="13"/>
    <x v="2"/>
    <x v="0"/>
    <n v="0.26500000000000001"/>
    <x v="2"/>
    <n v="19"/>
    <s v="Small"/>
    <x v="2"/>
    <n v="52.240560000000002"/>
    <n v="21.055899"/>
    <s v="Available"/>
    <x v="1"/>
    <d v="2024-03-01T00:00:00"/>
    <s v="March"/>
    <s v="Anne Anthony"/>
    <s v="OK"/>
  </r>
  <r>
    <n v="14"/>
    <x v="2"/>
    <x v="0"/>
    <n v="0.297366504854368"/>
    <x v="2"/>
    <n v="20.418848167539199"/>
    <s v="Small"/>
    <x v="0"/>
    <n v="52.241177"/>
    <n v="21.052873000000002"/>
    <s v="Available"/>
    <x v="1"/>
    <d v="2024-03-01T00:00:00"/>
    <s v="March"/>
    <s v="Anne Anthony"/>
    <s v="OK"/>
  </r>
  <r>
    <n v="15"/>
    <x v="2"/>
    <x v="0"/>
    <n v="0.26100000000000001"/>
    <x v="2"/>
    <n v="22"/>
    <s v="Small"/>
    <x v="2"/>
    <n v="52.240833000000002"/>
    <n v="21.052092999999999"/>
    <s v="Available"/>
    <x v="1"/>
    <d v="2024-03-01T00:00:00"/>
    <s v="March"/>
    <s v="Anne Anthony"/>
    <s v="OK"/>
  </r>
  <r>
    <n v="16"/>
    <x v="2"/>
    <x v="0"/>
    <n v="0.317"/>
    <x v="2"/>
    <n v="23"/>
    <s v="Small"/>
    <x v="0"/>
    <n v="52.241357999999998"/>
    <n v="21.056352"/>
    <s v="Available"/>
    <x v="1"/>
    <d v="2024-03-01T00:00:00"/>
    <s v="March"/>
    <s v="Anne Anthony"/>
    <s v="OK"/>
  </r>
  <r>
    <n v="17"/>
    <x v="2"/>
    <x v="0"/>
    <n v="0.32800000000000001"/>
    <x v="2"/>
    <n v="21"/>
    <s v="Small"/>
    <x v="0"/>
    <n v="52.241905000000003"/>
    <n v="21.050726999999998"/>
    <s v="Available"/>
    <x v="1"/>
    <d v="2024-03-01T00:00:00"/>
    <s v="March"/>
    <s v="Anne Anthony"/>
    <s v="OK"/>
  </r>
  <r>
    <n v="18"/>
    <x v="2"/>
    <x v="1"/>
    <n v="0.30499999999999999"/>
    <x v="2"/>
    <n v="21"/>
    <s v="Small"/>
    <x v="0"/>
    <n v="47.511400999999999"/>
    <n v="18.949119"/>
    <s v="Available"/>
    <x v="1"/>
    <d v="2024-03-01T00:00:00"/>
    <s v="March"/>
    <s v="Anne Anthony"/>
    <s v="OK"/>
  </r>
  <r>
    <n v="19"/>
    <x v="2"/>
    <x v="0"/>
    <n v="0.32800000000000001"/>
    <x v="2"/>
    <n v="23"/>
    <s v="Small"/>
    <x v="0"/>
    <n v="52.24192"/>
    <n v="21.056346999999999"/>
    <s v="Available"/>
    <x v="1"/>
    <d v="2024-03-01T00:00:00"/>
    <s v="March"/>
    <s v="Anne Anthony"/>
    <s v="OK"/>
  </r>
  <r>
    <n v="20"/>
    <x v="2"/>
    <x v="2"/>
    <n v="0.29399999999999998"/>
    <x v="2"/>
    <n v="19"/>
    <s v="Small"/>
    <x v="0"/>
    <m/>
    <m/>
    <s v="Missing Location"/>
    <x v="1"/>
    <d v="2024-03-01T00:00:00"/>
    <s v="March"/>
    <s v="Bob Bobson"/>
    <s v="Needs Review"/>
  </r>
  <r>
    <n v="21"/>
    <x v="2"/>
    <x v="2"/>
    <n v="0.25"/>
    <x v="2"/>
    <n v="19"/>
    <s v="Small"/>
    <x v="2"/>
    <m/>
    <m/>
    <s v="Missing Location"/>
    <x v="1"/>
    <d v="2024-03-01T00:00:00"/>
    <s v="March"/>
    <s v="Bob Bobson"/>
    <s v="Needs Review"/>
  </r>
  <r>
    <n v="22"/>
    <x v="2"/>
    <x v="2"/>
    <n v="0.26200000000000001"/>
    <x v="2"/>
    <n v="21"/>
    <s v="Small"/>
    <x v="0"/>
    <m/>
    <m/>
    <s v="Missing Location"/>
    <x v="1"/>
    <d v="2024-03-01T00:00:00"/>
    <s v="March"/>
    <s v="Bob Bobson"/>
    <s v="Needs Review"/>
  </r>
  <r>
    <n v="23"/>
    <x v="2"/>
    <x v="2"/>
    <n v="0.26700000000000002"/>
    <x v="2"/>
    <n v="21"/>
    <s v="Small"/>
    <x v="2"/>
    <m/>
    <m/>
    <s v="Missing Location"/>
    <x v="1"/>
    <d v="2024-03-01T00:00:00"/>
    <s v="March"/>
    <s v="Bob Bobson"/>
    <s v="Needs Review"/>
  </r>
  <r>
    <n v="24"/>
    <x v="2"/>
    <x v="2"/>
    <n v="0.26900000000000002"/>
    <x v="2"/>
    <n v="22"/>
    <s v="Small"/>
    <x v="0"/>
    <m/>
    <m/>
    <s v="Missing Location"/>
    <x v="1"/>
    <d v="2024-03-01T00:00:00"/>
    <s v="March"/>
    <s v="Bob Bobson"/>
    <s v="Needs Review"/>
  </r>
  <r>
    <n v="25"/>
    <x v="2"/>
    <x v="2"/>
    <n v="0.308"/>
    <x v="2"/>
    <n v="22"/>
    <s v="Small"/>
    <x v="2"/>
    <m/>
    <m/>
    <s v="Missing Location"/>
    <x v="1"/>
    <d v="2024-03-01T00:00:00"/>
    <s v="March"/>
    <s v="Bob Bobson"/>
    <s v="Needs Review"/>
  </r>
  <r>
    <n v="26"/>
    <x v="2"/>
    <x v="2"/>
    <n v="0.308"/>
    <x v="2"/>
    <n v="19"/>
    <s v="Small"/>
    <x v="0"/>
    <m/>
    <m/>
    <s v="Missing Location"/>
    <x v="1"/>
    <d v="2024-03-01T00:00:00"/>
    <s v="March"/>
    <s v="Bob Bobson"/>
    <s v="Needs Review"/>
  </r>
  <r>
    <n v="27"/>
    <x v="2"/>
    <x v="2"/>
    <n v="0.27"/>
    <x v="2"/>
    <n v="20"/>
    <s v="Small"/>
    <x v="0"/>
    <m/>
    <m/>
    <s v="Missing Location"/>
    <x v="1"/>
    <d v="2024-03-01T00:00:00"/>
    <s v="March"/>
    <s v="Bob Bobson"/>
    <s v="Needs Review"/>
  </r>
  <r>
    <n v="28"/>
    <x v="2"/>
    <x v="2"/>
    <n v="0.32"/>
    <x v="2"/>
    <n v="20"/>
    <s v="Small"/>
    <x v="0"/>
    <m/>
    <m/>
    <s v="Missing Location"/>
    <x v="1"/>
    <d v="2024-03-01T00:00:00"/>
    <s v="March"/>
    <s v="Bob Bobson"/>
    <s v="Needs Review"/>
  </r>
  <r>
    <n v="29"/>
    <x v="2"/>
    <x v="2"/>
    <n v="0.26200000000000001"/>
    <x v="2"/>
    <n v="20"/>
    <s v="Small"/>
    <x v="0"/>
    <m/>
    <m/>
    <s v="Missing Location"/>
    <x v="1"/>
    <d v="2024-03-01T00:00:00"/>
    <s v="March"/>
    <s v="Bob Bobson"/>
    <s v="Needs Review"/>
  </r>
  <r>
    <n v="30"/>
    <x v="2"/>
    <x v="2"/>
    <n v="0.25600000000000001"/>
    <x v="2"/>
    <n v="21"/>
    <s v="Small"/>
    <x v="0"/>
    <m/>
    <m/>
    <s v="Missing Location"/>
    <x v="1"/>
    <d v="2024-03-01T00:00:00"/>
    <s v="March"/>
    <s v="Bob Bobson"/>
    <s v="Needs Review"/>
  </r>
  <r>
    <n v="31"/>
    <x v="2"/>
    <x v="2"/>
    <n v="0.245"/>
    <x v="2"/>
    <n v="22"/>
    <s v="Small"/>
    <x v="0"/>
    <m/>
    <m/>
    <s v="Missing Location"/>
    <x v="1"/>
    <d v="2024-03-01T00:00:00"/>
    <s v="March"/>
    <s v="Bob Bobson"/>
    <s v="Needs Review"/>
  </r>
  <r>
    <n v="32"/>
    <x v="2"/>
    <x v="2"/>
    <n v="0.29199999999999998"/>
    <x v="2"/>
    <n v="19"/>
    <s v="Small"/>
    <x v="0"/>
    <m/>
    <m/>
    <s v="Missing Location"/>
    <x v="1"/>
    <d v="2024-03-01T00:00:00"/>
    <s v="March"/>
    <s v="Bob Bobson"/>
    <s v="Needs Review"/>
  </r>
  <r>
    <n v="33"/>
    <x v="2"/>
    <x v="2"/>
    <n v="0.28899999999999998"/>
    <x v="2"/>
    <n v="19"/>
    <s v="Small"/>
    <x v="2"/>
    <m/>
    <m/>
    <s v="Missing Location"/>
    <x v="1"/>
    <d v="2024-03-01T00:00:00"/>
    <s v="March"/>
    <s v="Bob Bobson"/>
    <s v="Needs Review"/>
  </r>
  <r>
    <n v="34"/>
    <x v="2"/>
    <x v="2"/>
    <n v="0.308"/>
    <x v="2"/>
    <n v="22"/>
    <s v="Small"/>
    <x v="0"/>
    <m/>
    <m/>
    <s v="Missing Location"/>
    <x v="1"/>
    <d v="2024-03-01T00:00:00"/>
    <s v="March"/>
    <s v="Bob Bobson"/>
    <s v="Needs Review"/>
  </r>
  <r>
    <n v="35"/>
    <x v="0"/>
    <x v="3"/>
    <n v="420"/>
    <x v="0"/>
    <n v="182"/>
    <s v="Very Large"/>
    <x v="0"/>
    <n v="49.054684000000002"/>
    <n v="22.417189"/>
    <s v="Available"/>
    <x v="1"/>
    <d v="2024-03-01T00:00:00"/>
    <s v="March"/>
    <s v="John Johnson"/>
    <s v="OK"/>
  </r>
  <r>
    <n v="36"/>
    <x v="0"/>
    <x v="3"/>
    <n v="511"/>
    <x v="0"/>
    <n v="266"/>
    <s v="Very Large"/>
    <x v="2"/>
    <n v="49.053629000000001"/>
    <n v="22.421831000000001"/>
    <s v="Available"/>
    <x v="1"/>
    <d v="2024-03-01T00:00:00"/>
    <s v="March"/>
    <s v="John Johnson"/>
    <s v="OK"/>
  </r>
  <r>
    <n v="37"/>
    <x v="0"/>
    <x v="3"/>
    <n v="814"/>
    <x v="0"/>
    <n v="288"/>
    <s v="Very Large"/>
    <x v="0"/>
    <n v="49.053488999999999"/>
    <n v="22.415229"/>
    <s v="Available"/>
    <x v="1"/>
    <d v="2024-03-01T00:00:00"/>
    <s v="March"/>
    <s v="John Johnson"/>
    <s v="OK"/>
  </r>
  <r>
    <n v="38"/>
    <x v="0"/>
    <x v="3"/>
    <n v="130"/>
    <x v="0"/>
    <n v="141"/>
    <s v="Large"/>
    <x v="2"/>
    <n v="49.054166000000002"/>
    <n v="22.422851999999999"/>
    <s v="Available"/>
    <x v="1"/>
    <d v="2024-03-01T00:00:00"/>
    <s v="March"/>
    <s v="John Johnson"/>
    <s v="OK"/>
  </r>
  <r>
    <n v="39"/>
    <x v="0"/>
    <x v="3"/>
    <n v="390"/>
    <x v="0"/>
    <n v="180"/>
    <s v="Very Large"/>
    <x v="2"/>
    <n v="49.052731000000001"/>
    <n v="22.422675000000002"/>
    <s v="Available"/>
    <x v="1"/>
    <d v="2024-03-01T00:00:00"/>
    <s v="March"/>
    <s v="John Johnson"/>
    <s v="OK"/>
  </r>
  <r>
    <n v="40"/>
    <x v="0"/>
    <x v="3"/>
    <n v="355"/>
    <x v="0"/>
    <n v="179"/>
    <s v="Very Large"/>
    <x v="0"/>
    <n v="49.055973999999999"/>
    <n v="22.415984999999999"/>
    <s v="Available"/>
    <x v="1"/>
    <d v="2024-03-01T00:00:00"/>
    <s v="March"/>
    <s v="John Johnson"/>
    <s v="OK"/>
  </r>
  <r>
    <n v="41"/>
    <x v="0"/>
    <x v="3"/>
    <n v="566"/>
    <x v="0"/>
    <n v="272"/>
    <s v="Very Large"/>
    <x v="2"/>
    <n v="49.053342000000001"/>
    <n v="22.423867000000001"/>
    <s v="Available"/>
    <x v="1"/>
    <d v="2024-03-01T00:00:00"/>
    <s v="March"/>
    <s v="John Johnson"/>
    <s v="OK"/>
  </r>
  <r>
    <n v="42"/>
    <x v="0"/>
    <x v="3"/>
    <n v="393"/>
    <x v="0"/>
    <n v="152"/>
    <s v="Very Large"/>
    <x v="1"/>
    <n v="49.056471000000002"/>
    <n v="22.422474999999999"/>
    <s v="Available"/>
    <x v="1"/>
    <d v="2024-03-01T00:00:00"/>
    <s v="March"/>
    <s v="John Johnson"/>
    <s v="OK"/>
  </r>
  <r>
    <n v="43"/>
    <x v="0"/>
    <x v="4"/>
    <n v="823"/>
    <x v="0"/>
    <n v="286"/>
    <s v="Very Large"/>
    <x v="0"/>
    <n v="50.636564"/>
    <n v="14.834553"/>
    <s v="Available"/>
    <x v="1"/>
    <d v="2024-03-01T00:00:00"/>
    <s v="March"/>
    <s v="John Johnson"/>
    <s v="OK"/>
  </r>
  <r>
    <n v="44"/>
    <x v="0"/>
    <x v="3"/>
    <n v="695"/>
    <x v="0"/>
    <n v="316"/>
    <s v="Very Large"/>
    <x v="0"/>
    <n v="49.055537000000001"/>
    <n v="22.419428"/>
    <s v="Available"/>
    <x v="1"/>
    <d v="2024-03-01T00:00:00"/>
    <s v="March"/>
    <s v="John Johnson"/>
    <s v="OK"/>
  </r>
  <r>
    <n v="45"/>
    <x v="3"/>
    <x v="4"/>
    <n v="0.6"/>
    <x v="2"/>
    <n v="20"/>
    <s v="Small"/>
    <x v="2"/>
    <n v="50.636868999999997"/>
    <n v="14.844555"/>
    <s v="Available"/>
    <x v="1"/>
    <d v="2024-03-01T00:00:00"/>
    <s v="March"/>
    <s v="John Johnson"/>
    <s v="OK"/>
  </r>
  <r>
    <n v="46"/>
    <x v="3"/>
    <x v="4"/>
    <n v="0.6"/>
    <x v="2"/>
    <n v="20.985294117647001"/>
    <s v="Small"/>
    <x v="0"/>
    <n v="50.644733000000002"/>
    <n v="14.835753"/>
    <s v="Available"/>
    <x v="1"/>
    <d v="2024-03-01T00:00:00"/>
    <s v="March"/>
    <s v="John Johnson"/>
    <s v="OK"/>
  </r>
  <r>
    <n v="47"/>
    <x v="3"/>
    <x v="4"/>
    <n v="1.2"/>
    <x v="2"/>
    <n v="31"/>
    <s v="Small"/>
    <x v="0"/>
    <n v="50.635765999999997"/>
    <n v="14.844246999999999"/>
    <s v="Available"/>
    <x v="1"/>
    <d v="2024-03-01T00:00:00"/>
    <s v="March"/>
    <s v="John Johnson"/>
    <s v="OK"/>
  </r>
  <r>
    <n v="48"/>
    <x v="2"/>
    <x v="3"/>
    <n v="0.27500000000000002"/>
    <x v="2"/>
    <n v="23"/>
    <s v="Small"/>
    <x v="0"/>
    <n v="48.185352999999999"/>
    <n v="17.083220000000001"/>
    <s v="Available"/>
    <x v="1"/>
    <d v="2024-03-01T00:00:00"/>
    <s v="March"/>
    <s v="John Johnson"/>
    <s v="OK"/>
  </r>
  <r>
    <n v="49"/>
    <x v="3"/>
    <x v="4"/>
    <n v="0.9"/>
    <x v="2"/>
    <n v="22"/>
    <s v="Small"/>
    <x v="0"/>
    <n v="50.642842999999999"/>
    <n v="14.841240000000001"/>
    <s v="Available"/>
    <x v="1"/>
    <d v="2024-03-01T00:00:00"/>
    <s v="March"/>
    <s v="John Johnson"/>
    <s v="OK"/>
  </r>
  <r>
    <n v="50"/>
    <x v="1"/>
    <x v="1"/>
    <n v="23"/>
    <x v="1"/>
    <n v="78"/>
    <s v="Medium"/>
    <x v="2"/>
    <n v="48.504128000000001"/>
    <n v="20.568479"/>
    <s v="Available"/>
    <x v="1"/>
    <d v="2024-03-02T00:00:00"/>
    <s v="March"/>
    <s v="Anne Anthony"/>
    <s v="OK"/>
  </r>
  <r>
    <n v="51"/>
    <x v="1"/>
    <x v="0"/>
    <n v="29"/>
    <x v="1"/>
    <n v="94"/>
    <s v="Medium"/>
    <x v="0"/>
    <n v="52.809851000000002"/>
    <n v="23.858070999999999"/>
    <s v="Available"/>
    <x v="1"/>
    <d v="2024-03-02T00:00:00"/>
    <s v="March"/>
    <s v="Anne Anthony"/>
    <s v="OK"/>
  </r>
  <r>
    <n v="52"/>
    <x v="2"/>
    <x v="2"/>
    <n v="0.24399999999999999"/>
    <x v="2"/>
    <n v="22"/>
    <s v="Small"/>
    <x v="2"/>
    <m/>
    <m/>
    <s v="Missing Location"/>
    <x v="1"/>
    <d v="2024-03-02T00:00:00"/>
    <s v="March"/>
    <s v="Bob Bobson"/>
    <s v="Needs Review"/>
  </r>
  <r>
    <n v="53"/>
    <x v="2"/>
    <x v="2"/>
    <n v="0.29899999999999999"/>
    <x v="2"/>
    <n v="21"/>
    <s v="Small"/>
    <x v="0"/>
    <m/>
    <m/>
    <s v="Missing Location"/>
    <x v="1"/>
    <d v="2024-03-02T00:00:00"/>
    <s v="March"/>
    <s v="Bob Bobson"/>
    <s v="Needs Review"/>
  </r>
  <r>
    <n v="54"/>
    <x v="2"/>
    <x v="2"/>
    <n v="0.28399999999999997"/>
    <x v="2"/>
    <n v="20"/>
    <s v="Small"/>
    <x v="2"/>
    <m/>
    <m/>
    <s v="Missing Location"/>
    <x v="1"/>
    <d v="2024-03-02T00:00:00"/>
    <s v="March"/>
    <s v="Bob Bobson"/>
    <s v="Needs Review"/>
  </r>
  <r>
    <n v="55"/>
    <x v="2"/>
    <x v="2"/>
    <n v="0.28899999999999998"/>
    <x v="2"/>
    <n v="20"/>
    <s v="Small"/>
    <x v="2"/>
    <m/>
    <m/>
    <s v="Missing Location"/>
    <x v="1"/>
    <d v="2024-03-02T00:00:00"/>
    <s v="March"/>
    <s v="Bob Bobson"/>
    <s v="Needs Review"/>
  </r>
  <r>
    <n v="56"/>
    <x v="2"/>
    <x v="2"/>
    <n v="0.28399999999999997"/>
    <x v="2"/>
    <n v="21"/>
    <s v="Small"/>
    <x v="0"/>
    <m/>
    <m/>
    <s v="Missing Location"/>
    <x v="1"/>
    <d v="2024-03-02T00:00:00"/>
    <s v="March"/>
    <s v="Bob Bobson"/>
    <s v="Needs Review"/>
  </r>
  <r>
    <n v="57"/>
    <x v="2"/>
    <x v="2"/>
    <n v="0.314"/>
    <x v="2"/>
    <n v="22"/>
    <s v="Small"/>
    <x v="0"/>
    <m/>
    <m/>
    <s v="Missing Location"/>
    <x v="1"/>
    <d v="2024-03-02T00:00:00"/>
    <s v="March"/>
    <s v="Bob Bobson"/>
    <s v="Needs Review"/>
  </r>
  <r>
    <n v="58"/>
    <x v="2"/>
    <x v="2"/>
    <n v="0.26200000000000001"/>
    <x v="2"/>
    <n v="19"/>
    <s v="Small"/>
    <x v="2"/>
    <m/>
    <m/>
    <s v="Missing Location"/>
    <x v="1"/>
    <d v="2024-03-02T00:00:00"/>
    <s v="March"/>
    <s v="Bob Bobson"/>
    <s v="Needs Review"/>
  </r>
  <r>
    <n v="59"/>
    <x v="2"/>
    <x v="2"/>
    <n v="0.25800000000000001"/>
    <x v="2"/>
    <n v="20"/>
    <s v="Small"/>
    <x v="0"/>
    <m/>
    <m/>
    <s v="Missing Location"/>
    <x v="1"/>
    <d v="2024-03-02T00:00:00"/>
    <s v="March"/>
    <s v="Bob Bobson"/>
    <s v="Needs Review"/>
  </r>
  <r>
    <n v="60"/>
    <x v="2"/>
    <x v="2"/>
    <n v="0.29699999999999999"/>
    <x v="2"/>
    <n v="21"/>
    <s v="Small"/>
    <x v="0"/>
    <m/>
    <m/>
    <s v="Missing Location"/>
    <x v="1"/>
    <d v="2024-03-02T00:00:00"/>
    <s v="March"/>
    <s v="Bob Bobson"/>
    <s v="Needs Review"/>
  </r>
  <r>
    <n v="61"/>
    <x v="2"/>
    <x v="2"/>
    <n v="0.255"/>
    <x v="2"/>
    <n v="22"/>
    <s v="Small"/>
    <x v="2"/>
    <m/>
    <m/>
    <s v="Missing Location"/>
    <x v="1"/>
    <d v="2024-03-02T00:00:00"/>
    <s v="March"/>
    <s v="Bob Bobson"/>
    <s v="Needs Review"/>
  </r>
  <r>
    <n v="62"/>
    <x v="2"/>
    <x v="2"/>
    <n v="0.28000000000000003"/>
    <x v="2"/>
    <n v="22"/>
    <s v="Small"/>
    <x v="0"/>
    <m/>
    <m/>
    <s v="Missing Location"/>
    <x v="1"/>
    <d v="2024-03-02T00:00:00"/>
    <s v="March"/>
    <s v="Bob Bobson"/>
    <s v="Needs Review"/>
  </r>
  <r>
    <n v="63"/>
    <x v="2"/>
    <x v="2"/>
    <n v="0.29299999999999998"/>
    <x v="2"/>
    <n v="22"/>
    <s v="Small"/>
    <x v="0"/>
    <m/>
    <m/>
    <s v="Missing Location"/>
    <x v="1"/>
    <d v="2024-03-02T00:00:00"/>
    <s v="March"/>
    <s v="Bob Bobson"/>
    <s v="Needs Review"/>
  </r>
  <r>
    <n v="64"/>
    <x v="2"/>
    <x v="2"/>
    <n v="0.29499999999999998"/>
    <x v="2"/>
    <n v="20"/>
    <s v="Small"/>
    <x v="0"/>
    <m/>
    <m/>
    <s v="Missing Location"/>
    <x v="1"/>
    <d v="2024-03-02T00:00:00"/>
    <s v="March"/>
    <s v="Bob Bobson"/>
    <s v="Needs Review"/>
  </r>
  <r>
    <n v="65"/>
    <x v="2"/>
    <x v="2"/>
    <n v="0.28000000000000003"/>
    <x v="2"/>
    <n v="20"/>
    <s v="Small"/>
    <x v="0"/>
    <m/>
    <m/>
    <s v="Missing Location"/>
    <x v="1"/>
    <d v="2024-03-02T00:00:00"/>
    <s v="March"/>
    <s v="Bob Bobson"/>
    <s v="Needs Review"/>
  </r>
  <r>
    <n v="66"/>
    <x v="2"/>
    <x v="2"/>
    <n v="0.28100000000000003"/>
    <x v="2"/>
    <n v="20"/>
    <s v="Small"/>
    <x v="0"/>
    <m/>
    <m/>
    <s v="Missing Location"/>
    <x v="1"/>
    <d v="2024-03-02T00:00:00"/>
    <s v="March"/>
    <s v="Bob Bobson"/>
    <s v="Needs Review"/>
  </r>
  <r>
    <n v="67"/>
    <x v="2"/>
    <x v="2"/>
    <n v="0.245"/>
    <x v="2"/>
    <n v="21"/>
    <s v="Small"/>
    <x v="2"/>
    <m/>
    <m/>
    <s v="Missing Location"/>
    <x v="1"/>
    <d v="2024-03-02T00:00:00"/>
    <s v="March"/>
    <s v="Bob Bobson"/>
    <s v="Needs Review"/>
  </r>
  <r>
    <n v="68"/>
    <x v="2"/>
    <x v="2"/>
    <n v="0.28299999999999997"/>
    <x v="2"/>
    <n v="21"/>
    <s v="Small"/>
    <x v="0"/>
    <m/>
    <m/>
    <s v="Missing Location"/>
    <x v="1"/>
    <d v="2024-03-02T00:00:00"/>
    <s v="March"/>
    <s v="Bob Bobson"/>
    <s v="Needs Review"/>
  </r>
  <r>
    <n v="69"/>
    <x v="2"/>
    <x v="2"/>
    <n v="0.27"/>
    <x v="2"/>
    <n v="19"/>
    <s v="Small"/>
    <x v="0"/>
    <m/>
    <m/>
    <s v="Missing Location"/>
    <x v="1"/>
    <d v="2024-03-02T00:00:00"/>
    <s v="March"/>
    <s v="Bob Bobson"/>
    <s v="Needs Review"/>
  </r>
  <r>
    <n v="70"/>
    <x v="2"/>
    <x v="2"/>
    <n v="0.315"/>
    <x v="2"/>
    <n v="22"/>
    <s v="Small"/>
    <x v="0"/>
    <m/>
    <m/>
    <s v="Missing Location"/>
    <x v="1"/>
    <d v="2024-03-02T00:00:00"/>
    <s v="March"/>
    <s v="Bob Bobson"/>
    <s v="Needs Review"/>
  </r>
  <r>
    <n v="71"/>
    <x v="2"/>
    <x v="2"/>
    <n v="0.254"/>
    <x v="2"/>
    <n v="17"/>
    <s v="Small"/>
    <x v="2"/>
    <m/>
    <m/>
    <s v="Missing Location"/>
    <x v="1"/>
    <d v="2024-03-02T00:00:00"/>
    <s v="March"/>
    <s v="Bob Bobson"/>
    <s v="Needs Review"/>
  </r>
  <r>
    <n v="72"/>
    <x v="2"/>
    <x v="2"/>
    <n v="0.249"/>
    <x v="2"/>
    <n v="19"/>
    <s v="Small"/>
    <x v="0"/>
    <m/>
    <m/>
    <s v="Missing Location"/>
    <x v="1"/>
    <d v="2024-03-02T00:00:00"/>
    <s v="March"/>
    <s v="Bob Bobson"/>
    <s v="Needs Review"/>
  </r>
  <r>
    <n v="73"/>
    <x v="2"/>
    <x v="2"/>
    <n v="0.29799999999999999"/>
    <x v="2"/>
    <n v="21"/>
    <s v="Small"/>
    <x v="0"/>
    <m/>
    <m/>
    <s v="Missing Location"/>
    <x v="1"/>
    <d v="2024-03-02T00:00:00"/>
    <s v="March"/>
    <s v="Bob Bobson"/>
    <s v="Needs Review"/>
  </r>
  <r>
    <n v="74"/>
    <x v="2"/>
    <x v="2"/>
    <n v="0.314"/>
    <x v="2"/>
    <n v="19"/>
    <s v="Small"/>
    <x v="2"/>
    <m/>
    <m/>
    <s v="Missing Location"/>
    <x v="1"/>
    <d v="2024-03-02T00:00:00"/>
    <s v="March"/>
    <s v="Bob Bobson"/>
    <s v="Needs Review"/>
  </r>
  <r>
    <n v="75"/>
    <x v="2"/>
    <x v="2"/>
    <n v="0.251"/>
    <x v="2"/>
    <n v="19"/>
    <s v="Small"/>
    <x v="0"/>
    <m/>
    <m/>
    <s v="Missing Location"/>
    <x v="1"/>
    <d v="2024-03-02T00:00:00"/>
    <s v="March"/>
    <s v="Bob Bobson"/>
    <s v="Needs Review"/>
  </r>
  <r>
    <n v="76"/>
    <x v="2"/>
    <x v="2"/>
    <n v="0.29299999999999998"/>
    <x v="2"/>
    <n v="20"/>
    <s v="Small"/>
    <x v="2"/>
    <m/>
    <m/>
    <s v="Missing Location"/>
    <x v="1"/>
    <d v="2024-03-02T00:00:00"/>
    <s v="March"/>
    <s v="Bob Bobson"/>
    <s v="Needs Review"/>
  </r>
  <r>
    <n v="77"/>
    <x v="2"/>
    <x v="2"/>
    <n v="0.30099999999999999"/>
    <x v="2"/>
    <n v="20"/>
    <s v="Small"/>
    <x v="0"/>
    <m/>
    <m/>
    <s v="Missing Location"/>
    <x v="1"/>
    <d v="2024-03-02T00:00:00"/>
    <s v="March"/>
    <s v="Bob Bobson"/>
    <s v="Needs Review"/>
  </r>
  <r>
    <n v="78"/>
    <x v="2"/>
    <x v="2"/>
    <n v="0.27100000000000002"/>
    <x v="2"/>
    <n v="17"/>
    <s v="Small"/>
    <x v="0"/>
    <m/>
    <m/>
    <s v="Missing Location"/>
    <x v="1"/>
    <d v="2024-03-02T00:00:00"/>
    <s v="March"/>
    <s v="Bob Bobson"/>
    <s v="Needs Review"/>
  </r>
  <r>
    <n v="79"/>
    <x v="2"/>
    <x v="2"/>
    <n v="0.27500000000000002"/>
    <x v="2"/>
    <n v="20"/>
    <s v="Small"/>
    <x v="0"/>
    <m/>
    <m/>
    <s v="Missing Location"/>
    <x v="1"/>
    <d v="2024-03-02T00:00:00"/>
    <s v="March"/>
    <s v="Bob Bobson"/>
    <s v="Needs Review"/>
  </r>
  <r>
    <n v="80"/>
    <x v="2"/>
    <x v="2"/>
    <n v="0.30399999999999999"/>
    <x v="2"/>
    <n v="21"/>
    <s v="Small"/>
    <x v="0"/>
    <m/>
    <m/>
    <s v="Missing Location"/>
    <x v="1"/>
    <d v="2024-03-02T00:00:00"/>
    <s v="March"/>
    <s v="Bob Bobson"/>
    <s v="Needs Review"/>
  </r>
  <r>
    <n v="81"/>
    <x v="2"/>
    <x v="2"/>
    <n v="0.308"/>
    <x v="2"/>
    <n v="20"/>
    <s v="Small"/>
    <x v="0"/>
    <m/>
    <m/>
    <s v="Missing Location"/>
    <x v="1"/>
    <d v="2024-03-02T00:00:00"/>
    <s v="March"/>
    <s v="Bob Bobson"/>
    <s v="Needs Review"/>
  </r>
  <r>
    <n v="82"/>
    <x v="2"/>
    <x v="2"/>
    <n v="0.24"/>
    <x v="2"/>
    <n v="21"/>
    <s v="Small"/>
    <x v="0"/>
    <m/>
    <m/>
    <s v="Missing Location"/>
    <x v="1"/>
    <d v="2024-03-02T00:00:00"/>
    <s v="March"/>
    <s v="Bob Bobson"/>
    <s v="Needs Review"/>
  </r>
  <r>
    <n v="83"/>
    <x v="0"/>
    <x v="4"/>
    <n v="402"/>
    <x v="0"/>
    <n v="162"/>
    <s v="Very Large"/>
    <x v="2"/>
    <n v="50.641007999999999"/>
    <n v="14.836529000000001"/>
    <s v="Available"/>
    <x v="1"/>
    <d v="2024-03-02T00:00:00"/>
    <s v="March"/>
    <s v="John Johnson"/>
    <s v="OK"/>
  </r>
  <r>
    <n v="84"/>
    <x v="0"/>
    <x v="4"/>
    <n v="535"/>
    <x v="0"/>
    <n v="295"/>
    <s v="Very Large"/>
    <x v="0"/>
    <n v="50.643405999999999"/>
    <n v="14.836494999999999"/>
    <s v="Available"/>
    <x v="1"/>
    <d v="2024-03-02T00:00:00"/>
    <s v="March"/>
    <s v="John Johnson"/>
    <s v="OK"/>
  </r>
  <r>
    <n v="85"/>
    <x v="0"/>
    <x v="4"/>
    <n v="572"/>
    <x v="0"/>
    <n v="251"/>
    <s v="Very Large"/>
    <x v="2"/>
    <n v="50.638945"/>
    <n v="14.845452"/>
    <s v="Available"/>
    <x v="1"/>
    <d v="2024-03-02T00:00:00"/>
    <s v="March"/>
    <s v="John Johnson"/>
    <s v="OK"/>
  </r>
  <r>
    <n v="86"/>
    <x v="3"/>
    <x v="4"/>
    <n v="0.9"/>
    <x v="2"/>
    <n v="20"/>
    <s v="Small"/>
    <x v="2"/>
    <n v="50.639868999999997"/>
    <n v="14.849702000000001"/>
    <s v="Available"/>
    <x v="1"/>
    <d v="2024-03-02T00:00:00"/>
    <s v="March"/>
    <s v="John Johnson"/>
    <s v="OK"/>
  </r>
  <r>
    <n v="87"/>
    <x v="3"/>
    <x v="4"/>
    <n v="0.7"/>
    <x v="2"/>
    <n v="16"/>
    <s v="Small"/>
    <x v="2"/>
    <n v="50.643039000000002"/>
    <n v="14.840662"/>
    <s v="Available"/>
    <x v="1"/>
    <d v="2024-03-02T00:00:00"/>
    <s v="March"/>
    <s v="John Johnson"/>
    <s v="OK"/>
  </r>
  <r>
    <n v="88"/>
    <x v="3"/>
    <x v="4"/>
    <n v="0.7"/>
    <x v="2"/>
    <n v="14"/>
    <s v="Small"/>
    <x v="2"/>
    <n v="50.637878999999998"/>
    <n v="14.838429"/>
    <s v="Available"/>
    <x v="1"/>
    <d v="2024-03-02T00:00:00"/>
    <s v="March"/>
    <s v="John Johnson"/>
    <s v="OK"/>
  </r>
  <r>
    <n v="89"/>
    <x v="3"/>
    <x v="4"/>
    <n v="1.1000000000000001"/>
    <x v="2"/>
    <n v="32"/>
    <s v="Small"/>
    <x v="0"/>
    <n v="50.643253999999999"/>
    <n v="14.843730000000001"/>
    <s v="Available"/>
    <x v="1"/>
    <d v="2024-03-02T00:00:00"/>
    <s v="March"/>
    <s v="John Johnson"/>
    <s v="OK"/>
  </r>
  <r>
    <n v="90"/>
    <x v="3"/>
    <x v="4"/>
    <n v="0.5"/>
    <x v="2"/>
    <n v="20"/>
    <s v="Small"/>
    <x v="0"/>
    <n v="50.643853999999997"/>
    <n v="14.837154999999999"/>
    <s v="Available"/>
    <x v="1"/>
    <d v="2024-03-02T00:00:00"/>
    <s v="March"/>
    <s v="John Johnson"/>
    <s v="OK"/>
  </r>
  <r>
    <n v="91"/>
    <x v="3"/>
    <x v="4"/>
    <n v="1.1000000000000001"/>
    <x v="2"/>
    <n v="22"/>
    <s v="Small"/>
    <x v="2"/>
    <n v="50.635584000000001"/>
    <n v="14.837071999999999"/>
    <s v="Available"/>
    <x v="1"/>
    <d v="2024-03-02T00:00:00"/>
    <s v="March"/>
    <s v="John Johnson"/>
    <s v="OK"/>
  </r>
  <r>
    <n v="92"/>
    <x v="3"/>
    <x v="4"/>
    <n v="1"/>
    <x v="2"/>
    <n v="20"/>
    <s v="Small"/>
    <x v="2"/>
    <n v="50.642722999999997"/>
    <n v="14.837229000000001"/>
    <s v="Available"/>
    <x v="1"/>
    <d v="2024-03-02T00:00:00"/>
    <s v="March"/>
    <s v="John Johnson"/>
    <s v="OK"/>
  </r>
  <r>
    <n v="93"/>
    <x v="3"/>
    <x v="4"/>
    <n v="0.7"/>
    <x v="2"/>
    <n v="13"/>
    <s v="Small"/>
    <x v="2"/>
    <n v="50.639389000000001"/>
    <n v="14.8444"/>
    <s v="Available"/>
    <x v="1"/>
    <d v="2024-03-02T00:00:00"/>
    <s v="March"/>
    <s v="John Johnson"/>
    <s v="OK"/>
  </r>
  <r>
    <n v="94"/>
    <x v="1"/>
    <x v="3"/>
    <n v="30"/>
    <x v="1"/>
    <n v="120"/>
    <s v="Large"/>
    <x v="0"/>
    <n v="48.409308000000003"/>
    <n v="18.832605999999998"/>
    <s v="Available"/>
    <x v="1"/>
    <d v="2024-03-02T00:00:00"/>
    <s v="March"/>
    <s v="John Johnson"/>
    <s v="OK"/>
  </r>
  <r>
    <n v="95"/>
    <x v="2"/>
    <x v="1"/>
    <n v="0.26200000000000001"/>
    <x v="2"/>
    <n v="20"/>
    <s v="Small"/>
    <x v="2"/>
    <n v="47.510798999999999"/>
    <n v="18.945582999999999"/>
    <s v="Available"/>
    <x v="1"/>
    <d v="2024-03-03T00:00:00"/>
    <s v="March"/>
    <s v="Anne Anthony"/>
    <s v="OK"/>
  </r>
  <r>
    <n v="96"/>
    <x v="3"/>
    <x v="4"/>
    <n v="0.6"/>
    <x v="2"/>
    <n v="20"/>
    <s v="Small"/>
    <x v="0"/>
    <n v="50.637374999999999"/>
    <n v="14.839784999999999"/>
    <s v="Available"/>
    <x v="1"/>
    <d v="2024-03-03T00:00:00"/>
    <s v="March"/>
    <s v="John Johnson"/>
    <s v="OK"/>
  </r>
  <r>
    <n v="97"/>
    <x v="1"/>
    <x v="3"/>
    <n v="28"/>
    <x v="1"/>
    <n v="131"/>
    <s v="Large"/>
    <x v="0"/>
    <n v="48.406303999999999"/>
    <n v="18.842851"/>
    <s v="Available"/>
    <x v="1"/>
    <d v="2024-03-03T00:00:00"/>
    <s v="March"/>
    <s v="John Johnson"/>
    <s v="OK"/>
  </r>
  <r>
    <n v="98"/>
    <x v="2"/>
    <x v="3"/>
    <n v="0.28100000000000003"/>
    <x v="2"/>
    <n v="18"/>
    <s v="Small"/>
    <x v="0"/>
    <n v="48.187690000000003"/>
    <n v="17.086471"/>
    <s v="Available"/>
    <x v="1"/>
    <d v="2024-03-03T00:00:00"/>
    <s v="March"/>
    <s v="John Johnson"/>
    <s v="OK"/>
  </r>
  <r>
    <n v="99"/>
    <x v="0"/>
    <x v="0"/>
    <n v="650"/>
    <x v="0"/>
    <n v="285"/>
    <s v="Very Large"/>
    <x v="2"/>
    <n v="52.834741000000001"/>
    <n v="23.826716000000001"/>
    <s v="Available"/>
    <x v="1"/>
    <d v="2024-03-04T00:00:00"/>
    <s v="March"/>
    <s v="Anne Anthony"/>
    <s v="OK"/>
  </r>
  <r>
    <n v="100"/>
    <x v="3"/>
    <x v="1"/>
    <n v="1.1000000000000001"/>
    <x v="2"/>
    <n v="24"/>
    <s v="Small"/>
    <x v="0"/>
    <n v="48.503794999999997"/>
    <n v="20.555931999999999"/>
    <s v="Available"/>
    <x v="1"/>
    <d v="2024-03-04T00:00:00"/>
    <s v="March"/>
    <s v="Anne Anthony"/>
    <s v="OK"/>
  </r>
  <r>
    <n v="101"/>
    <x v="3"/>
    <x v="1"/>
    <n v="1.1000000000000001"/>
    <x v="2"/>
    <n v="26"/>
    <s v="Small"/>
    <x v="1"/>
    <n v="48.503062"/>
    <n v="20.551697999999998"/>
    <s v="Available"/>
    <x v="1"/>
    <d v="2024-03-04T00:00:00"/>
    <s v="March"/>
    <s v="Anne Anthony"/>
    <s v="OK"/>
  </r>
  <r>
    <n v="102"/>
    <x v="3"/>
    <x v="1"/>
    <n v="0.8"/>
    <x v="2"/>
    <n v="18"/>
    <s v="Small"/>
    <x v="2"/>
    <n v="48.503498"/>
    <n v="20.539662"/>
    <s v="Available"/>
    <x v="1"/>
    <d v="2024-03-04T00:00:00"/>
    <s v="March"/>
    <s v="Anne Anthony"/>
    <s v="OK"/>
  </r>
  <r>
    <n v="103"/>
    <x v="3"/>
    <x v="1"/>
    <n v="1.2"/>
    <x v="2"/>
    <n v="26"/>
    <s v="Small"/>
    <x v="0"/>
    <n v="48.509298000000001"/>
    <n v="20.551977000000001"/>
    <s v="Available"/>
    <x v="1"/>
    <d v="2024-03-04T00:00:00"/>
    <s v="March"/>
    <s v="Anne Anthony"/>
    <s v="OK"/>
  </r>
  <r>
    <n v="104"/>
    <x v="3"/>
    <x v="0"/>
    <n v="0.9"/>
    <x v="2"/>
    <n v="22"/>
    <s v="Small"/>
    <x v="0"/>
    <n v="52.214678999999997"/>
    <n v="21.033021000000002"/>
    <s v="Available"/>
    <x v="1"/>
    <d v="2024-03-04T00:00:00"/>
    <s v="March"/>
    <s v="Anne Anthony"/>
    <s v="OK"/>
  </r>
  <r>
    <n v="105"/>
    <x v="1"/>
    <x v="1"/>
    <n v="25"/>
    <x v="1"/>
    <n v="89"/>
    <s v="Medium"/>
    <x v="0"/>
    <n v="48.504168999999997"/>
    <n v="20.559452"/>
    <s v="Available"/>
    <x v="1"/>
    <d v="2024-03-04T00:00:00"/>
    <s v="March"/>
    <s v="Anne Anthony"/>
    <s v="OK"/>
  </r>
  <r>
    <n v="106"/>
    <x v="2"/>
    <x v="1"/>
    <n v="0.28299999999999997"/>
    <x v="2"/>
    <n v="18"/>
    <s v="Small"/>
    <x v="2"/>
    <n v="48.505251000000001"/>
    <n v="20.551473000000001"/>
    <s v="Available"/>
    <x v="1"/>
    <d v="2024-03-04T00:00:00"/>
    <s v="March"/>
    <s v="Anne Anthony"/>
    <s v="OK"/>
  </r>
  <r>
    <n v="107"/>
    <x v="2"/>
    <x v="1"/>
    <n v="0.307"/>
    <x v="2"/>
    <n v="20.418848167539199"/>
    <s v="Small"/>
    <x v="0"/>
    <m/>
    <m/>
    <s v="Missing Location"/>
    <x v="1"/>
    <d v="2024-03-04T00:00:00"/>
    <s v="March"/>
    <s v="Anne Anthony"/>
    <s v="Needs Review"/>
  </r>
  <r>
    <n v="108"/>
    <x v="2"/>
    <x v="1"/>
    <n v="0.29599999999999999"/>
    <x v="2"/>
    <n v="22"/>
    <s v="Small"/>
    <x v="0"/>
    <n v="48.502583999999999"/>
    <n v="20.532518"/>
    <s v="Available"/>
    <x v="1"/>
    <d v="2024-03-04T00:00:00"/>
    <s v="March"/>
    <s v="Anne Anthony"/>
    <s v="OK"/>
  </r>
  <r>
    <n v="109"/>
    <x v="2"/>
    <x v="1"/>
    <n v="0.30099999999999999"/>
    <x v="2"/>
    <n v="18"/>
    <s v="Small"/>
    <x v="2"/>
    <n v="48.505512000000003"/>
    <n v="20.538038"/>
    <s v="Available"/>
    <x v="1"/>
    <d v="2024-03-04T00:00:00"/>
    <s v="March"/>
    <s v="Anne Anthony"/>
    <s v="OK"/>
  </r>
  <r>
    <n v="110"/>
    <x v="2"/>
    <x v="1"/>
    <n v="0.29499999999999998"/>
    <x v="2"/>
    <n v="17"/>
    <s v="Small"/>
    <x v="0"/>
    <n v="48.505780000000001"/>
    <n v="20.546465999999999"/>
    <s v="Available"/>
    <x v="1"/>
    <d v="2024-03-04T00:00:00"/>
    <s v="March"/>
    <s v="Anne Anthony"/>
    <s v="OK"/>
  </r>
  <r>
    <n v="111"/>
    <x v="2"/>
    <x v="1"/>
    <n v="0.32"/>
    <x v="2"/>
    <n v="18"/>
    <s v="Small"/>
    <x v="0"/>
    <n v="48.502091"/>
    <n v="20.547521"/>
    <s v="Available"/>
    <x v="1"/>
    <d v="2024-03-04T00:00:00"/>
    <s v="March"/>
    <s v="Anne Anthony"/>
    <s v="OK"/>
  </r>
  <r>
    <n v="112"/>
    <x v="2"/>
    <x v="1"/>
    <n v="0.28000000000000003"/>
    <x v="2"/>
    <n v="19"/>
    <s v="Small"/>
    <x v="2"/>
    <n v="48.505493999999999"/>
    <n v="20.536362"/>
    <s v="Available"/>
    <x v="1"/>
    <d v="2024-03-04T00:00:00"/>
    <s v="March"/>
    <s v="Anne Anthony"/>
    <s v="OK"/>
  </r>
  <r>
    <n v="113"/>
    <x v="2"/>
    <x v="0"/>
    <n v="0.33"/>
    <x v="2"/>
    <n v="24"/>
    <s v="Small"/>
    <x v="0"/>
    <n v="52.241202999999999"/>
    <n v="21.050999000000001"/>
    <s v="Available"/>
    <x v="1"/>
    <d v="2024-03-04T00:00:00"/>
    <s v="March"/>
    <s v="Anne Anthony"/>
    <s v="OK"/>
  </r>
  <r>
    <n v="114"/>
    <x v="2"/>
    <x v="0"/>
    <n v="0.3"/>
    <x v="2"/>
    <n v="22"/>
    <s v="Small"/>
    <x v="2"/>
    <n v="52.240017999999999"/>
    <n v="21.052389999999999"/>
    <s v="Available"/>
    <x v="4"/>
    <d v="2024-03-04T00:00:00"/>
    <s v="March"/>
    <s v="Anne Anthony"/>
    <s v="OK"/>
  </r>
  <r>
    <n v="115"/>
    <x v="2"/>
    <x v="0"/>
    <n v="0.28299999999999997"/>
    <x v="2"/>
    <n v="17"/>
    <s v="Small"/>
    <x v="2"/>
    <n v="52.239930999999999"/>
    <n v="21.056702999999999"/>
    <s v="Available"/>
    <x v="1"/>
    <d v="2024-03-04T00:00:00"/>
    <s v="March"/>
    <s v="Anne Anthony"/>
    <s v="OK"/>
  </r>
  <r>
    <n v="116"/>
    <x v="2"/>
    <x v="0"/>
    <n v="0.34100000000000003"/>
    <x v="2"/>
    <n v="21"/>
    <s v="Small"/>
    <x v="0"/>
    <n v="52.241855999999999"/>
    <n v="21.053077999999999"/>
    <s v="Available"/>
    <x v="1"/>
    <d v="2024-03-04T00:00:00"/>
    <s v="March"/>
    <s v="Anne Anthony"/>
    <s v="OK"/>
  </r>
  <r>
    <n v="117"/>
    <x v="2"/>
    <x v="0"/>
    <n v="0.35"/>
    <x v="2"/>
    <n v="24"/>
    <s v="Small"/>
    <x v="0"/>
    <n v="52.240453000000002"/>
    <n v="21.055847"/>
    <s v="Available"/>
    <x v="1"/>
    <d v="2024-03-04T00:00:00"/>
    <s v="March"/>
    <s v="Anne Anthony"/>
    <s v="OK"/>
  </r>
  <r>
    <n v="118"/>
    <x v="2"/>
    <x v="0"/>
    <n v="0.29099999999999998"/>
    <x v="2"/>
    <n v="21"/>
    <s v="Small"/>
    <x v="1"/>
    <n v="52.241661999999998"/>
    <n v="21.056429999999999"/>
    <s v="Available"/>
    <x v="1"/>
    <d v="2024-03-04T00:00:00"/>
    <s v="March"/>
    <s v="Anne Anthony"/>
    <s v="OK"/>
  </r>
  <r>
    <n v="119"/>
    <x v="2"/>
    <x v="0"/>
    <n v="0.32900000000000001"/>
    <x v="2"/>
    <n v="22"/>
    <s v="Small"/>
    <x v="2"/>
    <n v="52.241638000000002"/>
    <n v="21.055997999999999"/>
    <s v="Available"/>
    <x v="4"/>
    <d v="2024-03-04T00:00:00"/>
    <s v="March"/>
    <s v="Anne Anthony"/>
    <s v="OK"/>
  </r>
  <r>
    <n v="120"/>
    <x v="2"/>
    <x v="1"/>
    <n v="0.32700000000000001"/>
    <x v="2"/>
    <n v="18"/>
    <s v="Small"/>
    <x v="2"/>
    <n v="48.502803"/>
    <n v="20.548667999999999"/>
    <s v="Available"/>
    <x v="1"/>
    <d v="2024-03-04T00:00:00"/>
    <s v="March"/>
    <s v="Anne Anthony"/>
    <s v="OK"/>
  </r>
  <r>
    <n v="121"/>
    <x v="2"/>
    <x v="0"/>
    <n v="0.35"/>
    <x v="2"/>
    <n v="24"/>
    <s v="Small"/>
    <x v="0"/>
    <n v="52.240496999999998"/>
    <n v="21.055990999999999"/>
    <s v="Available"/>
    <x v="1"/>
    <d v="2024-03-04T00:00:00"/>
    <s v="March"/>
    <s v="Anne Anthony"/>
    <s v="OK"/>
  </r>
  <r>
    <n v="122"/>
    <x v="3"/>
    <x v="4"/>
    <n v="0.6"/>
    <x v="2"/>
    <n v="17"/>
    <s v="Small"/>
    <x v="0"/>
    <n v="50.635500999999998"/>
    <n v="14.838158"/>
    <s v="Available"/>
    <x v="1"/>
    <d v="2024-03-04T00:00:00"/>
    <s v="March"/>
    <s v="John Johnson"/>
    <s v="OK"/>
  </r>
  <r>
    <n v="123"/>
    <x v="3"/>
    <x v="4"/>
    <n v="0.9"/>
    <x v="2"/>
    <n v="22"/>
    <s v="Small"/>
    <x v="2"/>
    <n v="50.638142000000002"/>
    <n v="14.849689"/>
    <s v="Available"/>
    <x v="1"/>
    <d v="2024-03-04T00:00:00"/>
    <s v="March"/>
    <s v="John Johnson"/>
    <s v="OK"/>
  </r>
  <r>
    <n v="124"/>
    <x v="2"/>
    <x v="4"/>
    <n v="0.28899999999999998"/>
    <x v="2"/>
    <n v="21"/>
    <s v="Small"/>
    <x v="2"/>
    <n v="49.937871999999999"/>
    <n v="14.179824999999999"/>
    <s v="Available"/>
    <x v="1"/>
    <d v="2024-03-04T00:00:00"/>
    <s v="March"/>
    <s v="John Johnson"/>
    <s v="OK"/>
  </r>
  <r>
    <n v="125"/>
    <x v="2"/>
    <x v="3"/>
    <n v="0.29699999999999999"/>
    <x v="2"/>
    <n v="20"/>
    <s v="Small"/>
    <x v="2"/>
    <n v="48.185194000000003"/>
    <n v="17.083141999999999"/>
    <s v="Available"/>
    <x v="1"/>
    <d v="2024-03-04T00:00:00"/>
    <s v="March"/>
    <s v="John Johnson"/>
    <s v="OK"/>
  </r>
  <r>
    <n v="126"/>
    <x v="1"/>
    <x v="1"/>
    <n v="24"/>
    <x v="1"/>
    <n v="79"/>
    <s v="Medium"/>
    <x v="0"/>
    <n v="48.503042999999998"/>
    <n v="20.561567"/>
    <s v="Available"/>
    <x v="1"/>
    <d v="2024-03-05T00:00:00"/>
    <s v="March"/>
    <s v="Anne Anthony"/>
    <s v="OK"/>
  </r>
  <r>
    <n v="127"/>
    <x v="2"/>
    <x v="0"/>
    <n v="0.30099999999999999"/>
    <x v="2"/>
    <n v="23"/>
    <s v="Small"/>
    <x v="2"/>
    <n v="52.240867000000001"/>
    <n v="21.054338999999999"/>
    <s v="Available"/>
    <x v="1"/>
    <d v="2024-03-05T00:00:00"/>
    <s v="March"/>
    <s v="Anne Anthony"/>
    <s v="OK"/>
  </r>
  <r>
    <n v="128"/>
    <x v="2"/>
    <x v="0"/>
    <n v="0.34399999999999997"/>
    <x v="2"/>
    <n v="20"/>
    <s v="Small"/>
    <x v="0"/>
    <n v="52.240521999999999"/>
    <n v="21.057552000000001"/>
    <s v="Available"/>
    <x v="1"/>
    <d v="2024-03-05T00:00:00"/>
    <s v="March"/>
    <s v="Anne Anthony"/>
    <s v="OK"/>
  </r>
  <r>
    <n v="129"/>
    <x v="2"/>
    <x v="1"/>
    <n v="0.253"/>
    <x v="2"/>
    <n v="20.418848167539199"/>
    <s v="Small"/>
    <x v="0"/>
    <n v="47.507002"/>
    <n v="18.950091"/>
    <s v="Available"/>
    <x v="1"/>
    <d v="2024-03-05T00:00:00"/>
    <s v="March"/>
    <s v="Anne Anthony"/>
    <s v="OK"/>
  </r>
  <r>
    <n v="130"/>
    <x v="2"/>
    <x v="1"/>
    <n v="0.29299999999999998"/>
    <x v="2"/>
    <n v="18"/>
    <s v="Small"/>
    <x v="2"/>
    <n v="47.507556999999998"/>
    <n v="18.942066000000001"/>
    <s v="Available"/>
    <x v="1"/>
    <d v="2024-03-05T00:00:00"/>
    <s v="March"/>
    <s v="Anne Anthony"/>
    <s v="OK"/>
  </r>
  <r>
    <n v="131"/>
    <x v="2"/>
    <x v="5"/>
    <n v="0.26300000000000001"/>
    <x v="2"/>
    <n v="22"/>
    <s v="Small"/>
    <x v="0"/>
    <m/>
    <m/>
    <s v="Missing Location"/>
    <x v="1"/>
    <d v="2024-03-05T00:00:00"/>
    <s v="March"/>
    <s v="Bob Bobson"/>
    <s v="Needs Review"/>
  </r>
  <r>
    <n v="132"/>
    <x v="3"/>
    <x v="4"/>
    <n v="0.9"/>
    <x v="2"/>
    <n v="19"/>
    <s v="Small"/>
    <x v="2"/>
    <n v="50.107284"/>
    <n v="14.346126999999999"/>
    <s v="Available"/>
    <x v="1"/>
    <d v="2024-03-05T00:00:00"/>
    <s v="March"/>
    <s v="John Johnson"/>
    <s v="OK"/>
  </r>
  <r>
    <n v="133"/>
    <x v="1"/>
    <x v="3"/>
    <n v="23"/>
    <x v="1"/>
    <n v="97"/>
    <s v="Medium"/>
    <x v="2"/>
    <n v="48.413226000000002"/>
    <n v="18.848127999999999"/>
    <s v="Available"/>
    <x v="1"/>
    <d v="2024-03-05T00:00:00"/>
    <s v="March"/>
    <s v="John Johnson"/>
    <s v="OK"/>
  </r>
  <r>
    <n v="134"/>
    <x v="2"/>
    <x v="3"/>
    <n v="0.33300000000000002"/>
    <x v="2"/>
    <n v="23"/>
    <s v="Small"/>
    <x v="0"/>
    <n v="48.409022999999998"/>
    <n v="18.843990000000002"/>
    <s v="Available"/>
    <x v="1"/>
    <d v="2024-03-05T00:00:00"/>
    <s v="March"/>
    <s v="John Johnson"/>
    <s v="OK"/>
  </r>
  <r>
    <n v="135"/>
    <x v="2"/>
    <x v="3"/>
    <n v="0.32"/>
    <x v="2"/>
    <n v="17"/>
    <s v="Small"/>
    <x v="0"/>
    <n v="48.406733000000003"/>
    <n v="18.838754000000002"/>
    <s v="Available"/>
    <x v="1"/>
    <d v="2024-03-05T00:00:00"/>
    <s v="March"/>
    <s v="John Johnson"/>
    <s v="OK"/>
  </r>
  <r>
    <n v="136"/>
    <x v="2"/>
    <x v="3"/>
    <n v="0.26600000000000001"/>
    <x v="2"/>
    <n v="18"/>
    <s v="Small"/>
    <x v="2"/>
    <n v="48.404589999999999"/>
    <n v="18.846848999999999"/>
    <s v="Available"/>
    <x v="1"/>
    <d v="2024-03-05T00:00:00"/>
    <s v="March"/>
    <s v="John Johnson"/>
    <s v="OK"/>
  </r>
  <r>
    <n v="137"/>
    <x v="2"/>
    <x v="3"/>
    <n v="0.30599999999999999"/>
    <x v="2"/>
    <n v="22"/>
    <s v="Small"/>
    <x v="0"/>
    <n v="48.408318000000001"/>
    <n v="18.844383000000001"/>
    <s v="Available"/>
    <x v="1"/>
    <d v="2024-03-05T00:00:00"/>
    <s v="March"/>
    <s v="John Johnson"/>
    <s v="OK"/>
  </r>
  <r>
    <n v="138"/>
    <x v="2"/>
    <x v="3"/>
    <n v="0.311"/>
    <x v="2"/>
    <n v="22"/>
    <s v="Small"/>
    <x v="0"/>
    <n v="48.412458000000001"/>
    <n v="18.832425000000001"/>
    <s v="Available"/>
    <x v="1"/>
    <d v="2024-03-05T00:00:00"/>
    <s v="March"/>
    <s v="John Johnson"/>
    <s v="OK"/>
  </r>
  <r>
    <n v="139"/>
    <x v="2"/>
    <x v="3"/>
    <n v="0.29099999999999998"/>
    <x v="2"/>
    <n v="22"/>
    <s v="Small"/>
    <x v="2"/>
    <n v="48.406551"/>
    <n v="18.837136999999998"/>
    <s v="Available"/>
    <x v="1"/>
    <d v="2024-03-05T00:00:00"/>
    <s v="March"/>
    <s v="John Johnson"/>
    <s v="OK"/>
  </r>
  <r>
    <n v="140"/>
    <x v="2"/>
    <x v="3"/>
    <n v="0.25900000000000001"/>
    <x v="2"/>
    <n v="19"/>
    <s v="Small"/>
    <x v="0"/>
    <n v="48.405515999999999"/>
    <n v="18.850994"/>
    <s v="Available"/>
    <x v="1"/>
    <d v="2024-03-05T00:00:00"/>
    <s v="March"/>
    <s v="John Johnson"/>
    <s v="OK"/>
  </r>
  <r>
    <n v="141"/>
    <x v="0"/>
    <x v="0"/>
    <n v="454"/>
    <x v="0"/>
    <n v="225"/>
    <s v="Very Large"/>
    <x v="2"/>
    <n v="52.834423000000001"/>
    <n v="23.827103000000001"/>
    <s v="Available"/>
    <x v="1"/>
    <d v="2024-03-06T00:00:00"/>
    <s v="March"/>
    <s v="Anne Anthony"/>
    <s v="OK"/>
  </r>
  <r>
    <n v="142"/>
    <x v="3"/>
    <x v="0"/>
    <n v="1.1000000000000001"/>
    <x v="2"/>
    <n v="22"/>
    <s v="Small"/>
    <x v="2"/>
    <n v="52.214520999999998"/>
    <n v="21.031889"/>
    <s v="Available"/>
    <x v="1"/>
    <d v="2024-03-06T00:00:00"/>
    <s v="March"/>
    <s v="Anne Anthony"/>
    <s v="OK"/>
  </r>
  <r>
    <n v="143"/>
    <x v="3"/>
    <x v="0"/>
    <n v="0.9"/>
    <x v="2"/>
    <n v="21"/>
    <s v="Small"/>
    <x v="0"/>
    <n v="52.214934"/>
    <n v="21.032105999999999"/>
    <s v="Available"/>
    <x v="1"/>
    <d v="2024-03-06T00:00:00"/>
    <s v="March"/>
    <s v="Anne Anthony"/>
    <s v="OK"/>
  </r>
  <r>
    <n v="144"/>
    <x v="1"/>
    <x v="1"/>
    <n v="18"/>
    <x v="2"/>
    <n v="81"/>
    <s v="Medium"/>
    <x v="2"/>
    <n v="48.511532000000003"/>
    <n v="20.539111999999999"/>
    <s v="Available"/>
    <x v="1"/>
    <d v="2024-03-06T00:00:00"/>
    <s v="March"/>
    <s v="Anne Anthony"/>
    <s v="OK"/>
  </r>
  <r>
    <n v="145"/>
    <x v="2"/>
    <x v="0"/>
    <n v="0.34300000000000003"/>
    <x v="2"/>
    <n v="23"/>
    <s v="Small"/>
    <x v="0"/>
    <n v="52.241638000000002"/>
    <n v="21.057328999999999"/>
    <s v="Available"/>
    <x v="1"/>
    <d v="2024-03-06T00:00:00"/>
    <s v="March"/>
    <s v="Anne Anthony"/>
    <s v="OK"/>
  </r>
  <r>
    <n v="146"/>
    <x v="2"/>
    <x v="0"/>
    <n v="0.27400000000000002"/>
    <x v="2"/>
    <n v="22"/>
    <s v="Small"/>
    <x v="2"/>
    <n v="52.241235000000003"/>
    <n v="21.057355999999999"/>
    <s v="Available"/>
    <x v="1"/>
    <d v="2024-03-06T00:00:00"/>
    <s v="March"/>
    <s v="Anne Anthony"/>
    <s v="OK"/>
  </r>
  <r>
    <n v="147"/>
    <x v="3"/>
    <x v="4"/>
    <n v="0.6"/>
    <x v="2"/>
    <n v="17"/>
    <s v="Small"/>
    <x v="2"/>
    <n v="50.106941999999997"/>
    <n v="14.348502"/>
    <s v="Available"/>
    <x v="1"/>
    <d v="2024-03-06T00:00:00"/>
    <s v="March"/>
    <s v="John Johnson"/>
    <s v="OK"/>
  </r>
  <r>
    <n v="148"/>
    <x v="3"/>
    <x v="4"/>
    <n v="0.4"/>
    <x v="2"/>
    <n v="12"/>
    <s v="Small"/>
    <x v="2"/>
    <n v="50.107222999999998"/>
    <n v="14.34732"/>
    <s v="Available"/>
    <x v="1"/>
    <d v="2024-03-06T00:00:00"/>
    <s v="March"/>
    <s v="John Johnson"/>
    <s v="OK"/>
  </r>
  <r>
    <n v="149"/>
    <x v="3"/>
    <x v="4"/>
    <n v="1.1000000000000001"/>
    <x v="2"/>
    <n v="26"/>
    <s v="Small"/>
    <x v="0"/>
    <n v="50.106378999999997"/>
    <n v="14.347645"/>
    <s v="Available"/>
    <x v="1"/>
    <d v="2024-03-06T00:00:00"/>
    <s v="March"/>
    <s v="John Johnson"/>
    <s v="OK"/>
  </r>
  <r>
    <n v="150"/>
    <x v="3"/>
    <x v="4"/>
    <n v="0.8"/>
    <x v="2"/>
    <n v="22"/>
    <s v="Small"/>
    <x v="0"/>
    <n v="50.106579000000004"/>
    <n v="14.346283"/>
    <s v="Available"/>
    <x v="1"/>
    <d v="2024-03-06T00:00:00"/>
    <s v="March"/>
    <s v="John Johnson"/>
    <s v="OK"/>
  </r>
  <r>
    <n v="151"/>
    <x v="2"/>
    <x v="3"/>
    <n v="0.33400000000000002"/>
    <x v="2"/>
    <n v="21"/>
    <s v="Small"/>
    <x v="0"/>
    <n v="48.188008000000004"/>
    <n v="17.085311999999998"/>
    <s v="Available"/>
    <x v="1"/>
    <d v="2024-03-06T00:00:00"/>
    <s v="March"/>
    <s v="John Johnson"/>
    <s v="OK"/>
  </r>
  <r>
    <n v="152"/>
    <x v="2"/>
    <x v="3"/>
    <n v="0.307"/>
    <x v="2"/>
    <n v="23"/>
    <s v="Small"/>
    <x v="2"/>
    <n v="48.185298000000003"/>
    <n v="17.084071999999999"/>
    <s v="Available"/>
    <x v="1"/>
    <d v="2024-03-06T00:00:00"/>
    <s v="March"/>
    <s v="John Johnson"/>
    <s v="OK"/>
  </r>
  <r>
    <n v="153"/>
    <x v="0"/>
    <x v="0"/>
    <n v="862"/>
    <x v="0"/>
    <n v="312"/>
    <s v="Very Large"/>
    <x v="0"/>
    <n v="52.831879000000001"/>
    <n v="23.826297"/>
    <s v="Available"/>
    <x v="1"/>
    <d v="2024-03-07T00:00:00"/>
    <s v="March"/>
    <s v="Anne Anthony"/>
    <s v="OK"/>
  </r>
  <r>
    <n v="154"/>
    <x v="3"/>
    <x v="1"/>
    <n v="0.74592592592592599"/>
    <x v="2"/>
    <n v="18.410447761194"/>
    <s v="Small"/>
    <x v="2"/>
    <n v="48.506205999999999"/>
    <n v="20.565308000000002"/>
    <s v="Available"/>
    <x v="1"/>
    <d v="2024-03-07T00:00:00"/>
    <s v="March"/>
    <s v="Anne Anthony"/>
    <s v="OK"/>
  </r>
  <r>
    <n v="155"/>
    <x v="3"/>
    <x v="1"/>
    <n v="0.5"/>
    <x v="2"/>
    <n v="16"/>
    <s v="Small"/>
    <x v="0"/>
    <n v="48.505090000000003"/>
    <n v="20.539448"/>
    <s v="Available"/>
    <x v="1"/>
    <d v="2024-03-07T00:00:00"/>
    <s v="March"/>
    <s v="Anne Anthony"/>
    <s v="OK"/>
  </r>
  <r>
    <n v="156"/>
    <x v="3"/>
    <x v="1"/>
    <n v="0.8"/>
    <x v="2"/>
    <n v="23"/>
    <s v="Small"/>
    <x v="2"/>
    <n v="48.504424999999998"/>
    <n v="20.548743999999999"/>
    <s v="Available"/>
    <x v="1"/>
    <d v="2024-03-07T00:00:00"/>
    <s v="March"/>
    <s v="Anne Anthony"/>
    <s v="OK"/>
  </r>
  <r>
    <n v="157"/>
    <x v="3"/>
    <x v="1"/>
    <n v="0.7"/>
    <x v="2"/>
    <n v="18"/>
    <s v="Small"/>
    <x v="2"/>
    <n v="48.505617000000001"/>
    <n v="20.541053999999999"/>
    <s v="Available"/>
    <x v="1"/>
    <d v="2024-03-07T00:00:00"/>
    <s v="March"/>
    <s v="Anne Anthony"/>
    <s v="OK"/>
  </r>
  <r>
    <n v="158"/>
    <x v="3"/>
    <x v="1"/>
    <n v="1.2"/>
    <x v="2"/>
    <n v="23"/>
    <s v="Small"/>
    <x v="0"/>
    <n v="48.503253999999998"/>
    <n v="20.555951"/>
    <s v="Available"/>
    <x v="1"/>
    <d v="2024-03-07T00:00:00"/>
    <s v="March"/>
    <s v="Anne Anthony"/>
    <s v="OK"/>
  </r>
  <r>
    <n v="159"/>
    <x v="3"/>
    <x v="1"/>
    <n v="0.5"/>
    <x v="2"/>
    <n v="15"/>
    <s v="Small"/>
    <x v="0"/>
    <n v="48.502358999999998"/>
    <n v="20.563385"/>
    <s v="Available"/>
    <x v="1"/>
    <d v="2024-03-07T00:00:00"/>
    <s v="March"/>
    <s v="Anne Anthony"/>
    <s v="OK"/>
  </r>
  <r>
    <n v="160"/>
    <x v="3"/>
    <x v="1"/>
    <n v="0.6"/>
    <x v="2"/>
    <n v="18"/>
    <s v="Small"/>
    <x v="2"/>
    <n v="48.511048000000002"/>
    <n v="20.567208999999998"/>
    <s v="Available"/>
    <x v="1"/>
    <d v="2024-03-07T00:00:00"/>
    <s v="March"/>
    <s v="Anne Anthony"/>
    <s v="OK"/>
  </r>
  <r>
    <n v="161"/>
    <x v="1"/>
    <x v="1"/>
    <n v="29"/>
    <x v="1"/>
    <n v="109"/>
    <s v="Large"/>
    <x v="0"/>
    <n v="48.501573999999998"/>
    <n v="20.532454999999999"/>
    <s v="Available"/>
    <x v="1"/>
    <d v="2024-03-07T00:00:00"/>
    <s v="March"/>
    <s v="Anne Anthony"/>
    <s v="OK"/>
  </r>
  <r>
    <n v="162"/>
    <x v="1"/>
    <x v="0"/>
    <n v="26"/>
    <x v="1"/>
    <n v="85"/>
    <s v="Medium"/>
    <x v="2"/>
    <n v="52.808579000000002"/>
    <n v="23.843768000000001"/>
    <s v="Available"/>
    <x v="1"/>
    <d v="2024-03-07T00:00:00"/>
    <s v="March"/>
    <s v="Anne Anthony"/>
    <s v="OK"/>
  </r>
  <r>
    <n v="163"/>
    <x v="2"/>
    <x v="1"/>
    <n v="0.29599999999999999"/>
    <x v="2"/>
    <n v="19"/>
    <s v="Small"/>
    <x v="0"/>
    <m/>
    <m/>
    <s v="Missing Location"/>
    <x v="1"/>
    <d v="2024-03-07T00:00:00"/>
    <s v="March"/>
    <s v="Anne Anthony"/>
    <s v="Needs Review"/>
  </r>
  <r>
    <n v="164"/>
    <x v="2"/>
    <x v="1"/>
    <n v="0.3"/>
    <x v="2"/>
    <n v="23"/>
    <s v="Small"/>
    <x v="0"/>
    <n v="48.505406000000001"/>
    <n v="20.535848000000001"/>
    <s v="Available"/>
    <x v="1"/>
    <d v="2024-03-07T00:00:00"/>
    <s v="March"/>
    <s v="Anne Anthony"/>
    <s v="OK"/>
  </r>
  <r>
    <n v="165"/>
    <x v="2"/>
    <x v="1"/>
    <n v="0.28599999999999998"/>
    <x v="2"/>
    <n v="18"/>
    <s v="Small"/>
    <x v="2"/>
    <n v="48.503917000000001"/>
    <n v="20.536503"/>
    <s v="Available"/>
    <x v="1"/>
    <d v="2024-03-07T00:00:00"/>
    <s v="March"/>
    <s v="Anne Anthony"/>
    <s v="OK"/>
  </r>
  <r>
    <n v="166"/>
    <x v="2"/>
    <x v="0"/>
    <n v="0.318"/>
    <x v="2"/>
    <n v="21"/>
    <s v="Small"/>
    <x v="0"/>
    <n v="52.240616000000003"/>
    <n v="21.054901999999998"/>
    <s v="Available"/>
    <x v="1"/>
    <d v="2024-03-07T00:00:00"/>
    <s v="March"/>
    <s v="Anne Anthony"/>
    <s v="OK"/>
  </r>
  <r>
    <n v="167"/>
    <x v="0"/>
    <x v="4"/>
    <n v="716"/>
    <x v="0"/>
    <n v="303"/>
    <s v="Very Large"/>
    <x v="0"/>
    <n v="50.636161000000001"/>
    <n v="14.846951000000001"/>
    <s v="Available"/>
    <x v="1"/>
    <d v="2024-03-07T00:00:00"/>
    <s v="March"/>
    <s v="John Johnson"/>
    <s v="OK"/>
  </r>
  <r>
    <n v="168"/>
    <x v="0"/>
    <x v="4"/>
    <n v="541"/>
    <x v="0"/>
    <n v="212"/>
    <s v="Very Large"/>
    <x v="2"/>
    <n v="50.642592"/>
    <n v="14.85014"/>
    <s v="Available"/>
    <x v="1"/>
    <d v="2024-03-07T00:00:00"/>
    <s v="March"/>
    <s v="John Johnson"/>
    <s v="OK"/>
  </r>
  <r>
    <n v="169"/>
    <x v="0"/>
    <x v="4"/>
    <n v="30"/>
    <x v="1"/>
    <n v="100"/>
    <s v="Large"/>
    <x v="2"/>
    <n v="50.636423000000001"/>
    <n v="14.847287"/>
    <s v="Available"/>
    <x v="1"/>
    <d v="2024-03-07T00:00:00"/>
    <s v="March"/>
    <s v="John Johnson"/>
    <s v="OK"/>
  </r>
  <r>
    <n v="170"/>
    <x v="3"/>
    <x v="4"/>
    <n v="0.7"/>
    <x v="2"/>
    <n v="20"/>
    <s v="Small"/>
    <x v="2"/>
    <n v="50.106606999999997"/>
    <n v="14.347909"/>
    <s v="Available"/>
    <x v="1"/>
    <d v="2024-03-07T00:00:00"/>
    <s v="March"/>
    <s v="John Johnson"/>
    <s v="OK"/>
  </r>
  <r>
    <n v="171"/>
    <x v="3"/>
    <x v="4"/>
    <n v="0.7"/>
    <x v="2"/>
    <n v="20"/>
    <s v="Small"/>
    <x v="2"/>
    <n v="50.106924999999997"/>
    <n v="14.346629"/>
    <s v="Available"/>
    <x v="1"/>
    <d v="2024-03-07T00:00:00"/>
    <s v="March"/>
    <s v="John Johnson"/>
    <s v="OK"/>
  </r>
  <r>
    <n v="172"/>
    <x v="3"/>
    <x v="4"/>
    <n v="1.2"/>
    <x v="2"/>
    <n v="26"/>
    <s v="Small"/>
    <x v="0"/>
    <n v="50.107284"/>
    <n v="14.347676"/>
    <s v="Available"/>
    <x v="1"/>
    <d v="2024-03-07T00:00:00"/>
    <s v="March"/>
    <s v="John Johnson"/>
    <s v="OK"/>
  </r>
  <r>
    <n v="173"/>
    <x v="2"/>
    <x v="4"/>
    <n v="0.27300000000000002"/>
    <x v="2"/>
    <n v="17"/>
    <s v="Small"/>
    <x v="2"/>
    <n v="49.938634"/>
    <n v="14.181813"/>
    <s v="Available"/>
    <x v="1"/>
    <d v="2024-03-07T00:00:00"/>
    <s v="March"/>
    <s v="John Johnson"/>
    <s v="OK"/>
  </r>
  <r>
    <n v="174"/>
    <x v="3"/>
    <x v="1"/>
    <n v="1"/>
    <x v="2"/>
    <n v="24"/>
    <s v="Small"/>
    <x v="2"/>
    <n v="48.506912999999997"/>
    <n v="20.540427000000001"/>
    <s v="Available"/>
    <x v="1"/>
    <d v="2024-03-08T00:00:00"/>
    <s v="March"/>
    <s v="Anne Anthony"/>
    <s v="OK"/>
  </r>
  <r>
    <n v="175"/>
    <x v="3"/>
    <x v="0"/>
    <n v="0.8"/>
    <x v="2"/>
    <n v="19"/>
    <s v="Small"/>
    <x v="2"/>
    <n v="52.214365000000001"/>
    <n v="21.031462000000001"/>
    <s v="Available"/>
    <x v="1"/>
    <d v="2024-03-08T00:00:00"/>
    <s v="March"/>
    <s v="Anne Anthony"/>
    <s v="OK"/>
  </r>
  <r>
    <n v="176"/>
    <x v="2"/>
    <x v="1"/>
    <n v="0.26100000000000001"/>
    <x v="2"/>
    <n v="19"/>
    <s v="Small"/>
    <x v="2"/>
    <n v="47.507022999999997"/>
    <n v="18.940532000000001"/>
    <s v="Available"/>
    <x v="1"/>
    <d v="2024-03-08T00:00:00"/>
    <s v="March"/>
    <s v="Anne Anthony"/>
    <s v="OK"/>
  </r>
  <r>
    <n v="177"/>
    <x v="3"/>
    <x v="4"/>
    <n v="0.8"/>
    <x v="2"/>
    <n v="22"/>
    <s v="Small"/>
    <x v="0"/>
    <n v="50.106811"/>
    <n v="14.348513000000001"/>
    <s v="Available"/>
    <x v="1"/>
    <d v="2024-03-08T00:00:00"/>
    <s v="March"/>
    <s v="John Johnson"/>
    <s v="OK"/>
  </r>
  <r>
    <n v="178"/>
    <x v="3"/>
    <x v="4"/>
    <n v="1.1000000000000001"/>
    <x v="2"/>
    <n v="23"/>
    <s v="Small"/>
    <x v="0"/>
    <n v="50.107278000000001"/>
    <n v="14.348461"/>
    <s v="Available"/>
    <x v="1"/>
    <d v="2024-03-08T00:00:00"/>
    <s v="March"/>
    <s v="John Johnson"/>
    <s v="OK"/>
  </r>
  <r>
    <n v="179"/>
    <x v="0"/>
    <x v="0"/>
    <n v="621"/>
    <x v="0"/>
    <n v="277"/>
    <s v="Very Large"/>
    <x v="2"/>
    <n v="52.828561000000001"/>
    <n v="23.816860999999999"/>
    <s v="Available"/>
    <x v="1"/>
    <d v="2024-03-09T00:00:00"/>
    <s v="March"/>
    <s v="Anne Anthony"/>
    <s v="OK"/>
  </r>
  <r>
    <n v="180"/>
    <x v="0"/>
    <x v="0"/>
    <n v="385"/>
    <x v="0"/>
    <n v="168"/>
    <s v="Very Large"/>
    <x v="2"/>
    <n v="52.833261"/>
    <n v="23.815203"/>
    <s v="Available"/>
    <x v="1"/>
    <d v="2024-03-09T00:00:00"/>
    <s v="March"/>
    <s v="Anne Anthony"/>
    <s v="OK"/>
  </r>
  <r>
    <n v="181"/>
    <x v="3"/>
    <x v="0"/>
    <n v="0.6"/>
    <x v="2"/>
    <n v="20.985294117647001"/>
    <s v="Small"/>
    <x v="0"/>
    <n v="52.214410000000001"/>
    <n v="21.032484"/>
    <s v="Available"/>
    <x v="1"/>
    <d v="2024-03-09T00:00:00"/>
    <s v="March"/>
    <s v="Anne Anthony"/>
    <s v="OK"/>
  </r>
  <r>
    <n v="182"/>
    <x v="3"/>
    <x v="0"/>
    <n v="0.8"/>
    <x v="2"/>
    <n v="22"/>
    <s v="Small"/>
    <x v="2"/>
    <n v="52.214452000000001"/>
    <n v="21.034504999999999"/>
    <s v="Available"/>
    <x v="1"/>
    <d v="2024-03-09T00:00:00"/>
    <s v="March"/>
    <s v="Anne Anthony"/>
    <s v="OK"/>
  </r>
  <r>
    <n v="183"/>
    <x v="1"/>
    <x v="1"/>
    <n v="12"/>
    <x v="2"/>
    <n v="61"/>
    <s v="Medium"/>
    <x v="2"/>
    <n v="48.508239000000003"/>
    <n v="20.567913999999998"/>
    <s v="Available"/>
    <x v="1"/>
    <d v="2024-03-09T00:00:00"/>
    <s v="March"/>
    <s v="Anne Anthony"/>
    <s v="OK"/>
  </r>
  <r>
    <n v="184"/>
    <x v="1"/>
    <x v="1"/>
    <n v="23"/>
    <x v="1"/>
    <n v="73"/>
    <s v="Medium"/>
    <x v="2"/>
    <n v="48.507503"/>
    <n v="20.551725999999999"/>
    <s v="Available"/>
    <x v="1"/>
    <d v="2024-03-09T00:00:00"/>
    <s v="March"/>
    <s v="Anne Anthony"/>
    <s v="OK"/>
  </r>
  <r>
    <n v="185"/>
    <x v="1"/>
    <x v="0"/>
    <n v="20"/>
    <x v="1"/>
    <n v="95"/>
    <s v="Medium"/>
    <x v="2"/>
    <n v="52.814984000000003"/>
    <n v="23.840681"/>
    <s v="Available"/>
    <x v="1"/>
    <d v="2024-03-09T00:00:00"/>
    <s v="March"/>
    <s v="Anne Anthony"/>
    <s v="OK"/>
  </r>
  <r>
    <n v="186"/>
    <x v="1"/>
    <x v="0"/>
    <n v="18"/>
    <x v="2"/>
    <n v="63"/>
    <s v="Medium"/>
    <x v="0"/>
    <n v="52.812646999999998"/>
    <n v="23.863299000000001"/>
    <s v="Available"/>
    <x v="1"/>
    <d v="2024-03-09T00:00:00"/>
    <s v="March"/>
    <s v="Anne Anthony"/>
    <s v="OK"/>
  </r>
  <r>
    <n v="187"/>
    <x v="2"/>
    <x v="0"/>
    <n v="0.30199999999999999"/>
    <x v="2"/>
    <n v="22"/>
    <s v="Small"/>
    <x v="0"/>
    <n v="52.241374999999998"/>
    <n v="21.050844999999999"/>
    <s v="Available"/>
    <x v="1"/>
    <d v="2024-03-09T00:00:00"/>
    <s v="March"/>
    <s v="Anne Anthony"/>
    <s v="OK"/>
  </r>
  <r>
    <n v="188"/>
    <x v="2"/>
    <x v="1"/>
    <n v="0.28399999999999997"/>
    <x v="2"/>
    <n v="20"/>
    <s v="Small"/>
    <x v="2"/>
    <n v="47.50938"/>
    <n v="18.949607"/>
    <s v="Available"/>
    <x v="1"/>
    <d v="2024-03-09T00:00:00"/>
    <s v="March"/>
    <s v="Anne Anthony"/>
    <s v="OK"/>
  </r>
  <r>
    <n v="189"/>
    <x v="3"/>
    <x v="4"/>
    <n v="0.9"/>
    <x v="2"/>
    <n v="22"/>
    <s v="Small"/>
    <x v="2"/>
    <n v="50.106583000000001"/>
    <n v="14.346470999999999"/>
    <s v="Available"/>
    <x v="1"/>
    <d v="2024-03-09T00:00:00"/>
    <s v="March"/>
    <s v="John Johnson"/>
    <s v="OK"/>
  </r>
  <r>
    <n v="190"/>
    <x v="3"/>
    <x v="4"/>
    <n v="1.1000000000000001"/>
    <x v="2"/>
    <n v="23"/>
    <s v="Small"/>
    <x v="0"/>
    <n v="50.106960000000001"/>
    <n v="14.346126"/>
    <s v="Available"/>
    <x v="1"/>
    <d v="2024-03-09T00:00:00"/>
    <s v="March"/>
    <s v="John Johnson"/>
    <s v="OK"/>
  </r>
  <r>
    <n v="191"/>
    <x v="3"/>
    <x v="4"/>
    <n v="0.6"/>
    <x v="2"/>
    <n v="19"/>
    <s v="Small"/>
    <x v="0"/>
    <n v="50.106310999999998"/>
    <n v="14.346906000000001"/>
    <s v="Available"/>
    <x v="1"/>
    <d v="2024-03-09T00:00:00"/>
    <s v="March"/>
    <s v="John Johnson"/>
    <s v="OK"/>
  </r>
  <r>
    <n v="192"/>
    <x v="2"/>
    <x v="4"/>
    <n v="0.29299999999999998"/>
    <x v="2"/>
    <n v="19"/>
    <s v="Small"/>
    <x v="0"/>
    <n v="49.937415999999999"/>
    <n v="14.181449000000001"/>
    <s v="Available"/>
    <x v="1"/>
    <d v="2024-03-09T00:00:00"/>
    <s v="March"/>
    <s v="John Johnson"/>
    <s v="OK"/>
  </r>
  <r>
    <n v="193"/>
    <x v="3"/>
    <x v="1"/>
    <n v="0.9"/>
    <x v="2"/>
    <n v="20"/>
    <s v="Small"/>
    <x v="2"/>
    <n v="48.51108"/>
    <n v="20.567191999999999"/>
    <s v="Available"/>
    <x v="1"/>
    <d v="2024-03-10T00:00:00"/>
    <s v="March"/>
    <s v="Anne Anthony"/>
    <s v="OK"/>
  </r>
  <r>
    <n v="194"/>
    <x v="3"/>
    <x v="1"/>
    <n v="0.9"/>
    <x v="2"/>
    <n v="21"/>
    <s v="Small"/>
    <x v="0"/>
    <n v="48.505290000000002"/>
    <n v="20.566168999999999"/>
    <s v="Available"/>
    <x v="1"/>
    <d v="2024-03-10T00:00:00"/>
    <s v="March"/>
    <s v="Anne Anthony"/>
    <s v="OK"/>
  </r>
  <r>
    <n v="195"/>
    <x v="3"/>
    <x v="1"/>
    <n v="1.1000000000000001"/>
    <x v="2"/>
    <n v="26"/>
    <s v="Small"/>
    <x v="0"/>
    <n v="48.502485999999998"/>
    <n v="20.562564999999999"/>
    <s v="Available"/>
    <x v="1"/>
    <d v="2024-03-10T00:00:00"/>
    <s v="March"/>
    <s v="Anne Anthony"/>
    <s v="OK"/>
  </r>
  <r>
    <n v="196"/>
    <x v="1"/>
    <x v="1"/>
    <n v="23"/>
    <x v="1"/>
    <n v="77"/>
    <s v="Medium"/>
    <x v="2"/>
    <n v="48.509272000000003"/>
    <n v="20.551952"/>
    <s v="Available"/>
    <x v="1"/>
    <d v="2024-03-10T00:00:00"/>
    <s v="March"/>
    <s v="Anne Anthony"/>
    <s v="OK"/>
  </r>
  <r>
    <n v="197"/>
    <x v="1"/>
    <x v="1"/>
    <n v="15"/>
    <x v="2"/>
    <n v="71"/>
    <s v="Medium"/>
    <x v="0"/>
    <n v="48.501179999999998"/>
    <n v="20.557431999999999"/>
    <s v="Available"/>
    <x v="1"/>
    <d v="2024-03-10T00:00:00"/>
    <s v="March"/>
    <s v="Anne Anthony"/>
    <s v="OK"/>
  </r>
  <r>
    <n v="198"/>
    <x v="3"/>
    <x v="4"/>
    <n v="0.8"/>
    <x v="2"/>
    <n v="17"/>
    <s v="Small"/>
    <x v="0"/>
    <n v="49.938707000000001"/>
    <n v="14.182506999999999"/>
    <s v="Available"/>
    <x v="1"/>
    <d v="2024-03-10T00:00:00"/>
    <s v="March"/>
    <s v="John Johnson"/>
    <s v="OK"/>
  </r>
  <r>
    <n v="199"/>
    <x v="3"/>
    <x v="4"/>
    <n v="0.5"/>
    <x v="2"/>
    <n v="18"/>
    <s v="Small"/>
    <x v="2"/>
    <n v="49.937531"/>
    <n v="14.180358999999999"/>
    <s v="Available"/>
    <x v="1"/>
    <d v="2024-03-10T00:00:00"/>
    <s v="March"/>
    <s v="John Johnson"/>
    <s v="OK"/>
  </r>
  <r>
    <n v="200"/>
    <x v="3"/>
    <x v="4"/>
    <n v="0.7"/>
    <x v="2"/>
    <n v="17"/>
    <s v="Small"/>
    <x v="2"/>
    <n v="49.937890000000003"/>
    <n v="14.180882"/>
    <s v="Available"/>
    <x v="1"/>
    <d v="2024-03-10T00:00:00"/>
    <s v="March"/>
    <s v="John Johnson"/>
    <s v="OK"/>
  </r>
  <r>
    <n v="201"/>
    <x v="3"/>
    <x v="4"/>
    <n v="0.5"/>
    <x v="2"/>
    <n v="15"/>
    <s v="Small"/>
    <x v="2"/>
    <n v="49.937339999999999"/>
    <n v="14.180709999999999"/>
    <s v="Available"/>
    <x v="1"/>
    <d v="2024-03-10T00:00:00"/>
    <s v="March"/>
    <s v="John Johnson"/>
    <s v="OK"/>
  </r>
  <r>
    <n v="202"/>
    <x v="0"/>
    <x v="0"/>
    <n v="24"/>
    <x v="1"/>
    <n v="100"/>
    <s v="Large"/>
    <x v="2"/>
    <n v="52.834111999999998"/>
    <n v="23.825721999999999"/>
    <s v="Available"/>
    <x v="1"/>
    <d v="2024-03-11T00:00:00"/>
    <s v="March"/>
    <s v="Anne Anthony"/>
    <s v="OK"/>
  </r>
  <r>
    <n v="203"/>
    <x v="3"/>
    <x v="1"/>
    <n v="0.9"/>
    <x v="2"/>
    <n v="19"/>
    <s v="Small"/>
    <x v="2"/>
    <n v="48.505634000000001"/>
    <n v="20.543417000000002"/>
    <s v="Available"/>
    <x v="1"/>
    <d v="2024-03-11T00:00:00"/>
    <s v="March"/>
    <s v="Anne Anthony"/>
    <s v="OK"/>
  </r>
  <r>
    <n v="204"/>
    <x v="3"/>
    <x v="0"/>
    <n v="0.8"/>
    <x v="2"/>
    <n v="16"/>
    <s v="Small"/>
    <x v="2"/>
    <n v="52.214967999999999"/>
    <n v="21.030987"/>
    <s v="Available"/>
    <x v="1"/>
    <d v="2024-03-11T00:00:00"/>
    <s v="March"/>
    <s v="Anne Anthony"/>
    <s v="OK"/>
  </r>
  <r>
    <n v="205"/>
    <x v="1"/>
    <x v="1"/>
    <n v="20"/>
    <x v="1"/>
    <n v="90"/>
    <s v="Medium"/>
    <x v="2"/>
    <n v="48.501938000000003"/>
    <n v="20.567813999999998"/>
    <s v="Available"/>
    <x v="1"/>
    <d v="2024-03-11T00:00:00"/>
    <s v="March"/>
    <s v="Anne Anthony"/>
    <s v="OK"/>
  </r>
  <r>
    <n v="206"/>
    <x v="2"/>
    <x v="1"/>
    <n v="0.32200000000000001"/>
    <x v="2"/>
    <n v="21"/>
    <s v="Small"/>
    <x v="0"/>
    <n v="48.506216999999999"/>
    <n v="20.545055000000001"/>
    <s v="Available"/>
    <x v="1"/>
    <d v="2024-03-11T00:00:00"/>
    <s v="March"/>
    <s v="Anne Anthony"/>
    <s v="OK"/>
  </r>
  <r>
    <n v="207"/>
    <x v="2"/>
    <x v="1"/>
    <n v="0.28199999999999997"/>
    <x v="2"/>
    <n v="21"/>
    <s v="Small"/>
    <x v="0"/>
    <m/>
    <m/>
    <s v="Missing Location"/>
    <x v="1"/>
    <d v="2024-03-11T00:00:00"/>
    <s v="March"/>
    <s v="Anne Anthony"/>
    <s v="Needs Review"/>
  </r>
  <r>
    <n v="208"/>
    <x v="2"/>
    <x v="1"/>
    <n v="0.311"/>
    <x v="2"/>
    <n v="22"/>
    <s v="Small"/>
    <x v="2"/>
    <n v="48.505737000000003"/>
    <n v="20.546731000000001"/>
    <s v="Available"/>
    <x v="1"/>
    <d v="2024-03-11T00:00:00"/>
    <s v="March"/>
    <s v="Anne Anthony"/>
    <s v="OK"/>
  </r>
  <r>
    <n v="209"/>
    <x v="2"/>
    <x v="1"/>
    <n v="0.33600000000000002"/>
    <x v="2"/>
    <n v="22"/>
    <s v="Small"/>
    <x v="2"/>
    <n v="48.506095000000002"/>
    <n v="20.543032"/>
    <s v="Available"/>
    <x v="1"/>
    <d v="2024-03-11T00:00:00"/>
    <s v="March"/>
    <s v="Anne Anthony"/>
    <s v="OK"/>
  </r>
  <r>
    <n v="210"/>
    <x v="2"/>
    <x v="1"/>
    <n v="0.28999999999999998"/>
    <x v="2"/>
    <n v="21"/>
    <s v="Small"/>
    <x v="0"/>
    <n v="48.506428999999997"/>
    <n v="20.543875"/>
    <s v="Available"/>
    <x v="1"/>
    <d v="2024-03-11T00:00:00"/>
    <s v="March"/>
    <s v="Anne Anthony"/>
    <s v="OK"/>
  </r>
  <r>
    <n v="211"/>
    <x v="2"/>
    <x v="1"/>
    <n v="0.29299999999999998"/>
    <x v="2"/>
    <n v="20"/>
    <s v="Small"/>
    <x v="0"/>
    <n v="48.505859999999998"/>
    <n v="20.547649"/>
    <s v="Available"/>
    <x v="1"/>
    <d v="2024-03-11T00:00:00"/>
    <s v="March"/>
    <s v="Anne Anthony"/>
    <s v="OK"/>
  </r>
  <r>
    <n v="212"/>
    <x v="2"/>
    <x v="1"/>
    <n v="0.33500000000000002"/>
    <x v="2"/>
    <n v="19"/>
    <s v="Small"/>
    <x v="2"/>
    <n v="48.502521000000002"/>
    <n v="20.558578000000001"/>
    <s v="Available"/>
    <x v="1"/>
    <d v="2024-03-11T00:00:00"/>
    <s v="March"/>
    <s v="Anne Anthony"/>
    <s v="OK"/>
  </r>
  <r>
    <n v="213"/>
    <x v="2"/>
    <x v="1"/>
    <n v="0.33900000000000002"/>
    <x v="2"/>
    <n v="19"/>
    <s v="Small"/>
    <x v="2"/>
    <n v="48.503751999999999"/>
    <n v="20.558664"/>
    <s v="Available"/>
    <x v="1"/>
    <d v="2024-03-11T00:00:00"/>
    <s v="March"/>
    <s v="Anne Anthony"/>
    <s v="OK"/>
  </r>
  <r>
    <n v="214"/>
    <x v="2"/>
    <x v="0"/>
    <n v="0.30399999999999999"/>
    <x v="2"/>
    <n v="22"/>
    <s v="Small"/>
    <x v="1"/>
    <n v="52.241092999999999"/>
    <n v="21.055413000000001"/>
    <s v="Available"/>
    <x v="1"/>
    <d v="2024-03-11T00:00:00"/>
    <s v="March"/>
    <s v="Anne Anthony"/>
    <s v="OK"/>
  </r>
  <r>
    <n v="215"/>
    <x v="2"/>
    <x v="4"/>
    <n v="0.27100000000000002"/>
    <x v="2"/>
    <n v="18"/>
    <s v="Small"/>
    <x v="0"/>
    <n v="49.937390999999998"/>
    <n v="14.179565999999999"/>
    <s v="Available"/>
    <x v="1"/>
    <d v="2024-03-11T00:00:00"/>
    <s v="March"/>
    <s v="John Johnson"/>
    <s v="OK"/>
  </r>
  <r>
    <n v="216"/>
    <x v="0"/>
    <x v="0"/>
    <n v="315"/>
    <x v="0"/>
    <n v="175"/>
    <s v="Very Large"/>
    <x v="0"/>
    <n v="52.829512000000001"/>
    <n v="23.811681"/>
    <s v="Available"/>
    <x v="1"/>
    <d v="2024-03-12T00:00:00"/>
    <s v="March"/>
    <s v="Anne Anthony"/>
    <s v="OK"/>
  </r>
  <r>
    <n v="217"/>
    <x v="2"/>
    <x v="0"/>
    <n v="0.316"/>
    <x v="2"/>
    <n v="24"/>
    <s v="Small"/>
    <x v="0"/>
    <n v="52.240707"/>
    <n v="21.057051000000001"/>
    <s v="Available"/>
    <x v="1"/>
    <d v="2024-03-12T00:00:00"/>
    <s v="March"/>
    <s v="Anne Anthony"/>
    <s v="OK"/>
  </r>
  <r>
    <n v="218"/>
    <x v="2"/>
    <x v="1"/>
    <n v="0.297366504854368"/>
    <x v="2"/>
    <n v="20.674418604651098"/>
    <s v="Small"/>
    <x v="2"/>
    <n v="47.508454"/>
    <n v="18.949342999999999"/>
    <s v="Available"/>
    <x v="1"/>
    <d v="2024-03-12T00:00:00"/>
    <s v="March"/>
    <s v="Anne Anthony"/>
    <s v="OK"/>
  </r>
  <r>
    <n v="219"/>
    <x v="3"/>
    <x v="4"/>
    <n v="0.6"/>
    <x v="2"/>
    <n v="20"/>
    <s v="Small"/>
    <x v="0"/>
    <n v="49.938169000000002"/>
    <n v="14.178703000000001"/>
    <s v="Available"/>
    <x v="1"/>
    <d v="2024-03-12T00:00:00"/>
    <s v="March"/>
    <s v="John Johnson"/>
    <s v="OK"/>
  </r>
  <r>
    <n v="220"/>
    <x v="3"/>
    <x v="4"/>
    <n v="0.4"/>
    <x v="2"/>
    <n v="17"/>
    <s v="Small"/>
    <x v="0"/>
    <n v="49.938527000000001"/>
    <n v="14.179315000000001"/>
    <s v="Available"/>
    <x v="1"/>
    <d v="2024-03-12T00:00:00"/>
    <s v="March"/>
    <s v="John Johnson"/>
    <s v="OK"/>
  </r>
  <r>
    <n v="221"/>
    <x v="2"/>
    <x v="4"/>
    <n v="0.32400000000000001"/>
    <x v="2"/>
    <n v="23"/>
    <s v="Small"/>
    <x v="2"/>
    <n v="49.937724000000003"/>
    <n v="14.182072"/>
    <s v="Available"/>
    <x v="1"/>
    <d v="2024-03-12T00:00:00"/>
    <s v="March"/>
    <s v="John Johnson"/>
    <s v="OK"/>
  </r>
  <r>
    <n v="222"/>
    <x v="3"/>
    <x v="1"/>
    <n v="0.6"/>
    <x v="2"/>
    <n v="14"/>
    <s v="Small"/>
    <x v="2"/>
    <n v="48.506262"/>
    <n v="20.547343000000001"/>
    <s v="Available"/>
    <x v="1"/>
    <d v="2024-03-13T00:00:00"/>
    <s v="March"/>
    <s v="Anne Anthony"/>
    <s v="OK"/>
  </r>
  <r>
    <n v="223"/>
    <x v="3"/>
    <x v="0"/>
    <n v="0.8"/>
    <x v="2"/>
    <n v="24"/>
    <s v="Small"/>
    <x v="0"/>
    <n v="52.214734"/>
    <n v="21.031915000000001"/>
    <s v="Available"/>
    <x v="1"/>
    <d v="2024-03-13T00:00:00"/>
    <s v="March"/>
    <s v="Anne Anthony"/>
    <s v="OK"/>
  </r>
  <r>
    <n v="224"/>
    <x v="1"/>
    <x v="1"/>
    <n v="20"/>
    <x v="1"/>
    <n v="86"/>
    <s v="Medium"/>
    <x v="0"/>
    <n v="48.504716999999999"/>
    <n v="20.558726"/>
    <s v="Available"/>
    <x v="1"/>
    <d v="2024-03-13T00:00:00"/>
    <s v="March"/>
    <s v="Anne Anthony"/>
    <s v="OK"/>
  </r>
  <r>
    <n v="225"/>
    <x v="2"/>
    <x v="0"/>
    <n v="0.36"/>
    <x v="2"/>
    <n v="23"/>
    <s v="Small"/>
    <x v="2"/>
    <n v="52.241509999999998"/>
    <n v="21.052575000000001"/>
    <s v="Available"/>
    <x v="2"/>
    <d v="2024-03-13T00:00:00"/>
    <s v="March"/>
    <s v="Anne Anthony"/>
    <s v="OK"/>
  </r>
  <r>
    <n v="226"/>
    <x v="2"/>
    <x v="1"/>
    <n v="0.26"/>
    <x v="2"/>
    <n v="18"/>
    <s v="Small"/>
    <x v="0"/>
    <n v="47.505768000000003"/>
    <n v="18.943674000000001"/>
    <s v="Available"/>
    <x v="1"/>
    <d v="2024-03-13T00:00:00"/>
    <s v="March"/>
    <s v="Anne Anthony"/>
    <s v="OK"/>
  </r>
  <r>
    <n v="227"/>
    <x v="2"/>
    <x v="2"/>
    <n v="0.33500000000000002"/>
    <x v="2"/>
    <n v="18"/>
    <s v="Small"/>
    <x v="0"/>
    <n v="48.161549000000001"/>
    <n v="11.493041"/>
    <s v="Available"/>
    <x v="1"/>
    <d v="2024-03-13T00:00:00"/>
    <s v="March"/>
    <s v="Bob Bobson"/>
    <s v="OK"/>
  </r>
  <r>
    <n v="228"/>
    <x v="3"/>
    <x v="4"/>
    <n v="0.6"/>
    <x v="2"/>
    <n v="15"/>
    <s v="Small"/>
    <x v="2"/>
    <n v="49.939297000000003"/>
    <n v="14.181452999999999"/>
    <s v="Available"/>
    <x v="1"/>
    <d v="2024-03-13T00:00:00"/>
    <s v="March"/>
    <s v="John Johnson"/>
    <s v="OK"/>
  </r>
  <r>
    <n v="229"/>
    <x v="2"/>
    <x v="3"/>
    <n v="0.28799999999999998"/>
    <x v="2"/>
    <n v="18"/>
    <s v="Small"/>
    <x v="2"/>
    <n v="48.185952999999998"/>
    <n v="17.083929999999999"/>
    <s v="Available"/>
    <x v="1"/>
    <d v="2024-03-13T00:00:00"/>
    <s v="March"/>
    <s v="John Johnson"/>
    <s v="OK"/>
  </r>
  <r>
    <n v="230"/>
    <x v="0"/>
    <x v="0"/>
    <n v="610"/>
    <x v="0"/>
    <n v="258"/>
    <s v="Very Large"/>
    <x v="2"/>
    <n v="52.821134999999998"/>
    <n v="23.809947000000001"/>
    <s v="Available"/>
    <x v="1"/>
    <d v="2024-03-14T00:00:00"/>
    <s v="March"/>
    <s v="Anne Anthony"/>
    <s v="OK"/>
  </r>
  <r>
    <n v="231"/>
    <x v="3"/>
    <x v="1"/>
    <n v="0.7"/>
    <x v="2"/>
    <n v="21"/>
    <s v="Small"/>
    <x v="2"/>
    <n v="48.509199000000002"/>
    <n v="20.552447000000001"/>
    <s v="Available"/>
    <x v="1"/>
    <d v="2024-03-14T00:00:00"/>
    <s v="March"/>
    <s v="Anne Anthony"/>
    <s v="OK"/>
  </r>
  <r>
    <n v="232"/>
    <x v="3"/>
    <x v="0"/>
    <n v="1"/>
    <x v="2"/>
    <n v="21"/>
    <s v="Small"/>
    <x v="2"/>
    <n v="52.213985000000001"/>
    <n v="21.030840999999999"/>
    <s v="Available"/>
    <x v="1"/>
    <d v="2024-03-14T00:00:00"/>
    <s v="March"/>
    <s v="Anne Anthony"/>
    <s v="OK"/>
  </r>
  <r>
    <n v="233"/>
    <x v="3"/>
    <x v="0"/>
    <n v="0.8"/>
    <x v="2"/>
    <n v="15"/>
    <s v="Small"/>
    <x v="2"/>
    <n v="52.213876999999997"/>
    <n v="21.030861000000002"/>
    <s v="Available"/>
    <x v="1"/>
    <d v="2024-03-14T00:00:00"/>
    <s v="March"/>
    <s v="Anne Anthony"/>
    <s v="OK"/>
  </r>
  <r>
    <n v="234"/>
    <x v="2"/>
    <x v="0"/>
    <n v="0.32"/>
    <x v="2"/>
    <n v="21"/>
    <s v="Small"/>
    <x v="2"/>
    <n v="52.241309000000001"/>
    <n v="21.057247"/>
    <s v="Available"/>
    <x v="1"/>
    <d v="2024-03-14T00:00:00"/>
    <s v="March"/>
    <s v="Anne Anthony"/>
    <s v="OK"/>
  </r>
  <r>
    <n v="235"/>
    <x v="2"/>
    <x v="1"/>
    <n v="0.28699999999999998"/>
    <x v="2"/>
    <n v="23"/>
    <s v="Small"/>
    <x v="2"/>
    <n v="47.508679000000001"/>
    <n v="18.946127000000001"/>
    <s v="Available"/>
    <x v="1"/>
    <d v="2024-03-14T00:00:00"/>
    <s v="March"/>
    <s v="Anne Anthony"/>
    <s v="OK"/>
  </r>
  <r>
    <n v="236"/>
    <x v="3"/>
    <x v="5"/>
    <n v="0.8"/>
    <x v="2"/>
    <n v="24"/>
    <s v="Small"/>
    <x v="1"/>
    <n v="47.781689"/>
    <n v="14.386777"/>
    <s v="Available"/>
    <x v="1"/>
    <d v="2024-03-14T00:00:00"/>
    <s v="March"/>
    <s v="Bob Bobson"/>
    <s v="OK"/>
  </r>
  <r>
    <n v="237"/>
    <x v="3"/>
    <x v="5"/>
    <n v="0.7"/>
    <x v="2"/>
    <n v="19"/>
    <s v="Small"/>
    <x v="2"/>
    <n v="47.781139000000003"/>
    <n v="14.382004"/>
    <s v="Available"/>
    <x v="1"/>
    <d v="2024-03-14T00:00:00"/>
    <s v="March"/>
    <s v="Bob Bobson"/>
    <s v="OK"/>
  </r>
  <r>
    <n v="238"/>
    <x v="3"/>
    <x v="5"/>
    <n v="0.8"/>
    <x v="2"/>
    <n v="20"/>
    <s v="Small"/>
    <x v="0"/>
    <n v="47.781827999999997"/>
    <n v="14.385001000000001"/>
    <s v="Available"/>
    <x v="1"/>
    <d v="2024-03-14T00:00:00"/>
    <s v="March"/>
    <s v="Bob Bobson"/>
    <s v="OK"/>
  </r>
  <r>
    <n v="239"/>
    <x v="3"/>
    <x v="5"/>
    <n v="0.6"/>
    <x v="2"/>
    <n v="14"/>
    <s v="Small"/>
    <x v="2"/>
    <n v="47.781059999999997"/>
    <n v="14.386806999999999"/>
    <s v="Available"/>
    <x v="1"/>
    <d v="2024-03-14T00:00:00"/>
    <s v="March"/>
    <s v="Bob Bobson"/>
    <s v="OK"/>
  </r>
  <r>
    <n v="240"/>
    <x v="3"/>
    <x v="5"/>
    <n v="0.7"/>
    <x v="2"/>
    <n v="24"/>
    <s v="Small"/>
    <x v="0"/>
    <n v="47.780872000000002"/>
    <n v="14.384460000000001"/>
    <s v="Available"/>
    <x v="1"/>
    <d v="2024-03-14T00:00:00"/>
    <s v="March"/>
    <s v="Bob Bobson"/>
    <s v="OK"/>
  </r>
  <r>
    <n v="241"/>
    <x v="3"/>
    <x v="5"/>
    <n v="0.8"/>
    <x v="2"/>
    <n v="21"/>
    <s v="Small"/>
    <x v="2"/>
    <n v="47.781117000000002"/>
    <n v="14.38608"/>
    <s v="Available"/>
    <x v="1"/>
    <d v="2024-03-14T00:00:00"/>
    <s v="March"/>
    <s v="Bob Bobson"/>
    <s v="OK"/>
  </r>
  <r>
    <n v="242"/>
    <x v="1"/>
    <x v="5"/>
    <n v="22"/>
    <x v="1"/>
    <n v="80"/>
    <s v="Medium"/>
    <x v="2"/>
    <n v="47.780779000000003"/>
    <n v="14.384918000000001"/>
    <s v="Available"/>
    <x v="1"/>
    <d v="2024-03-14T00:00:00"/>
    <s v="March"/>
    <s v="Bob Bobson"/>
    <s v="OK"/>
  </r>
  <r>
    <n v="243"/>
    <x v="1"/>
    <x v="5"/>
    <n v="23"/>
    <x v="1"/>
    <n v="86"/>
    <s v="Medium"/>
    <x v="0"/>
    <n v="47.781256999999997"/>
    <n v="14.383099"/>
    <s v="Available"/>
    <x v="1"/>
    <d v="2024-03-14T00:00:00"/>
    <s v="March"/>
    <s v="Bob Bobson"/>
    <s v="OK"/>
  </r>
  <r>
    <n v="244"/>
    <x v="3"/>
    <x v="4"/>
    <n v="0.9"/>
    <x v="2"/>
    <n v="16"/>
    <s v="Small"/>
    <x v="2"/>
    <n v="49.938490000000002"/>
    <n v="14.180199999999999"/>
    <s v="Available"/>
    <x v="1"/>
    <d v="2024-03-14T00:00:00"/>
    <s v="March"/>
    <s v="John Johnson"/>
    <s v="OK"/>
  </r>
  <r>
    <n v="245"/>
    <x v="3"/>
    <x v="0"/>
    <n v="0.9"/>
    <x v="2"/>
    <n v="22"/>
    <s v="Small"/>
    <x v="0"/>
    <n v="52.214497999999999"/>
    <n v="21.034200999999999"/>
    <s v="Available"/>
    <x v="1"/>
    <d v="2024-03-15T00:00:00"/>
    <s v="March"/>
    <s v="Anne Anthony"/>
    <s v="OK"/>
  </r>
  <r>
    <n v="246"/>
    <x v="1"/>
    <x v="0"/>
    <n v="16"/>
    <x v="2"/>
    <n v="70"/>
    <s v="Medium"/>
    <x v="0"/>
    <n v="52.803128999999998"/>
    <n v="23.844358"/>
    <s v="Available"/>
    <x v="1"/>
    <d v="2024-03-15T00:00:00"/>
    <s v="March"/>
    <s v="Anne Anthony"/>
    <s v="OK"/>
  </r>
  <r>
    <n v="247"/>
    <x v="3"/>
    <x v="4"/>
    <n v="0.7"/>
    <x v="2"/>
    <n v="21"/>
    <s v="Small"/>
    <x v="2"/>
    <n v="49.938132000000003"/>
    <n v="14.181225"/>
    <s v="Available"/>
    <x v="1"/>
    <d v="2024-03-15T00:00:00"/>
    <s v="March"/>
    <s v="John Johnson"/>
    <s v="OK"/>
  </r>
  <r>
    <n v="248"/>
    <x v="2"/>
    <x v="3"/>
    <n v="0.29399999999999998"/>
    <x v="2"/>
    <n v="23"/>
    <s v="Small"/>
    <x v="0"/>
    <n v="48.184373999999998"/>
    <n v="17.085999999999999"/>
    <s v="Available"/>
    <x v="1"/>
    <d v="2024-03-15T00:00:00"/>
    <s v="March"/>
    <s v="John Johnson"/>
    <s v="OK"/>
  </r>
  <r>
    <n v="249"/>
    <x v="2"/>
    <x v="4"/>
    <n v="0.26700000000000002"/>
    <x v="2"/>
    <n v="18"/>
    <s v="Small"/>
    <x v="2"/>
    <n v="49.938859999999998"/>
    <n v="14.182738000000001"/>
    <s v="Available"/>
    <x v="1"/>
    <d v="2024-03-15T00:00:00"/>
    <s v="March"/>
    <s v="John Johnson"/>
    <s v="OK"/>
  </r>
  <r>
    <n v="250"/>
    <x v="2"/>
    <x v="4"/>
    <n v="0.32800000000000001"/>
    <x v="2"/>
    <n v="19"/>
    <s v="Small"/>
    <x v="0"/>
    <n v="49.938357000000003"/>
    <n v="14.177929000000001"/>
    <s v="Available"/>
    <x v="1"/>
    <d v="2024-03-15T00:00:00"/>
    <s v="March"/>
    <s v="John Johnson"/>
    <s v="OK"/>
  </r>
  <r>
    <n v="251"/>
    <x v="0"/>
    <x v="0"/>
    <n v="35"/>
    <x v="1"/>
    <n v="125"/>
    <s v="Large"/>
    <x v="2"/>
    <n v="52.820739000000003"/>
    <n v="23.815145000000001"/>
    <s v="Available"/>
    <x v="1"/>
    <d v="2024-03-16T00:00:00"/>
    <s v="March"/>
    <s v="Anne Anthony"/>
    <s v="OK"/>
  </r>
  <r>
    <n v="252"/>
    <x v="3"/>
    <x v="1"/>
    <n v="0.6"/>
    <x v="2"/>
    <n v="23"/>
    <s v="Small"/>
    <x v="0"/>
    <n v="48.501762999999997"/>
    <n v="20.547975999999998"/>
    <s v="Available"/>
    <x v="1"/>
    <d v="2024-03-16T00:00:00"/>
    <s v="March"/>
    <s v="Anne Anthony"/>
    <s v="OK"/>
  </r>
  <r>
    <n v="253"/>
    <x v="1"/>
    <x v="0"/>
    <n v="16"/>
    <x v="2"/>
    <n v="72"/>
    <s v="Medium"/>
    <x v="0"/>
    <n v="52.814211"/>
    <n v="23.834358000000002"/>
    <s v="Available"/>
    <x v="1"/>
    <d v="2024-03-16T00:00:00"/>
    <s v="March"/>
    <s v="Anne Anthony"/>
    <s v="OK"/>
  </r>
  <r>
    <n v="254"/>
    <x v="1"/>
    <x v="0"/>
    <n v="18"/>
    <x v="2"/>
    <n v="81"/>
    <s v="Medium"/>
    <x v="2"/>
    <n v="52.802757"/>
    <n v="23.835198999999999"/>
    <s v="Available"/>
    <x v="1"/>
    <d v="2024-03-16T00:00:00"/>
    <s v="March"/>
    <s v="Anne Anthony"/>
    <s v="OK"/>
  </r>
  <r>
    <n v="255"/>
    <x v="2"/>
    <x v="0"/>
    <n v="0.34599999999999997"/>
    <x v="2"/>
    <n v="19"/>
    <s v="Small"/>
    <x v="0"/>
    <n v="52.240529000000002"/>
    <n v="21.053602999999999"/>
    <s v="Available"/>
    <x v="1"/>
    <d v="2024-03-16T00:00:00"/>
    <s v="March"/>
    <s v="Anne Anthony"/>
    <s v="OK"/>
  </r>
  <r>
    <n v="256"/>
    <x v="2"/>
    <x v="1"/>
    <n v="0.27"/>
    <x v="2"/>
    <n v="22"/>
    <s v="Small"/>
    <x v="2"/>
    <n v="47.509866000000002"/>
    <n v="18.942537999999999"/>
    <s v="Available"/>
    <x v="1"/>
    <d v="2024-03-16T00:00:00"/>
    <s v="March"/>
    <s v="Anne Anthony"/>
    <s v="OK"/>
  </r>
  <r>
    <n v="257"/>
    <x v="2"/>
    <x v="3"/>
    <n v="0.32600000000000001"/>
    <x v="2"/>
    <n v="19"/>
    <s v="Small"/>
    <x v="2"/>
    <n v="48.185585000000003"/>
    <n v="17.091365"/>
    <s v="Available"/>
    <x v="1"/>
    <d v="2024-03-16T00:00:00"/>
    <s v="March"/>
    <s v="John Johnson"/>
    <s v="OK"/>
  </r>
  <r>
    <n v="258"/>
    <x v="0"/>
    <x v="0"/>
    <n v="915"/>
    <x v="0"/>
    <n v="304"/>
    <s v="Very Large"/>
    <x v="0"/>
    <n v="52.822879999999998"/>
    <n v="23.810852000000001"/>
    <s v="Available"/>
    <x v="1"/>
    <d v="2024-03-17T00:00:00"/>
    <s v="March"/>
    <s v="Anne Anthony"/>
    <s v="OK"/>
  </r>
  <r>
    <n v="259"/>
    <x v="3"/>
    <x v="1"/>
    <n v="0.7"/>
    <x v="2"/>
    <n v="15"/>
    <s v="Small"/>
    <x v="2"/>
    <n v="48.504773"/>
    <n v="20.536543000000002"/>
    <s v="Available"/>
    <x v="1"/>
    <d v="2024-03-17T00:00:00"/>
    <s v="March"/>
    <s v="Anne Anthony"/>
    <s v="OK"/>
  </r>
  <r>
    <n v="260"/>
    <x v="3"/>
    <x v="0"/>
    <n v="0.6"/>
    <x v="2"/>
    <n v="15"/>
    <s v="Small"/>
    <x v="2"/>
    <n v="52.214745000000001"/>
    <n v="21.033701000000001"/>
    <s v="Available"/>
    <x v="1"/>
    <d v="2024-03-17T00:00:00"/>
    <s v="March"/>
    <s v="Anne Anthony"/>
    <s v="OK"/>
  </r>
  <r>
    <n v="261"/>
    <x v="2"/>
    <x v="1"/>
    <n v="0.27800000000000002"/>
    <x v="2"/>
    <n v="21"/>
    <s v="Small"/>
    <x v="2"/>
    <n v="47.510303999999998"/>
    <n v="18.942924999999999"/>
    <s v="Available"/>
    <x v="1"/>
    <d v="2024-03-17T00:00:00"/>
    <s v="March"/>
    <s v="Anne Anthony"/>
    <s v="OK"/>
  </r>
  <r>
    <n v="262"/>
    <x v="2"/>
    <x v="3"/>
    <n v="0.32200000000000001"/>
    <x v="2"/>
    <n v="23"/>
    <s v="Small"/>
    <x v="2"/>
    <n v="49.056857000000001"/>
    <n v="22.416369"/>
    <s v="Available"/>
    <x v="1"/>
    <d v="2024-03-17T00:00:00"/>
    <s v="March"/>
    <s v="John Johnson"/>
    <s v="OK"/>
  </r>
  <r>
    <n v="263"/>
    <x v="2"/>
    <x v="3"/>
    <n v="0.30199999999999999"/>
    <x v="2"/>
    <n v="23"/>
    <s v="Small"/>
    <x v="0"/>
    <n v="48.412370000000003"/>
    <n v="18.875325"/>
    <s v="Available"/>
    <x v="1"/>
    <d v="2024-03-17T00:00:00"/>
    <s v="March"/>
    <s v="John Johnson"/>
    <s v="OK"/>
  </r>
  <r>
    <n v="264"/>
    <x v="2"/>
    <x v="3"/>
    <n v="0.33400000000000002"/>
    <x v="2"/>
    <n v="20"/>
    <s v="Small"/>
    <x v="2"/>
    <n v="48.406982999999997"/>
    <n v="18.863197"/>
    <s v="Available"/>
    <x v="1"/>
    <d v="2024-03-17T00:00:00"/>
    <s v="March"/>
    <s v="John Johnson"/>
    <s v="OK"/>
  </r>
  <r>
    <n v="265"/>
    <x v="2"/>
    <x v="3"/>
    <n v="0.28000000000000003"/>
    <x v="2"/>
    <n v="19"/>
    <s v="Small"/>
    <x v="0"/>
    <n v="48.411485999999996"/>
    <n v="18.867730000000002"/>
    <s v="Available"/>
    <x v="1"/>
    <d v="2024-03-17T00:00:00"/>
    <s v="March"/>
    <s v="John Johnson"/>
    <s v="OK"/>
  </r>
  <r>
    <n v="266"/>
    <x v="2"/>
    <x v="3"/>
    <n v="0.28899999999999998"/>
    <x v="2"/>
    <n v="18"/>
    <s v="Small"/>
    <x v="0"/>
    <n v="48.410536"/>
    <n v="18.870325000000001"/>
    <s v="Available"/>
    <x v="1"/>
    <d v="2024-03-17T00:00:00"/>
    <s v="March"/>
    <s v="John Johnson"/>
    <s v="OK"/>
  </r>
  <r>
    <n v="267"/>
    <x v="0"/>
    <x v="0"/>
    <n v="537"/>
    <x v="0"/>
    <n v="287"/>
    <s v="Very Large"/>
    <x v="2"/>
    <n v="52.825499999999998"/>
    <n v="23.808385999999999"/>
    <s v="Available"/>
    <x v="1"/>
    <d v="2024-03-18T00:00:00"/>
    <s v="March"/>
    <s v="Anne Anthony"/>
    <s v="OK"/>
  </r>
  <r>
    <n v="268"/>
    <x v="2"/>
    <x v="0"/>
    <n v="0.34599999999999997"/>
    <x v="2"/>
    <n v="23"/>
    <s v="Small"/>
    <x v="0"/>
    <n v="52.240737000000003"/>
    <n v="21.053063000000002"/>
    <s v="Available"/>
    <x v="1"/>
    <d v="2024-03-18T00:00:00"/>
    <s v="March"/>
    <s v="Anne Anthony"/>
    <s v="OK"/>
  </r>
  <r>
    <n v="269"/>
    <x v="3"/>
    <x v="4"/>
    <n v="1.2"/>
    <x v="2"/>
    <n v="26"/>
    <s v="Small"/>
    <x v="0"/>
    <n v="49.938547"/>
    <n v="14.180402000000001"/>
    <s v="Available"/>
    <x v="1"/>
    <d v="2024-03-18T00:00:00"/>
    <s v="March"/>
    <s v="John Johnson"/>
    <s v="OK"/>
  </r>
  <r>
    <n v="270"/>
    <x v="3"/>
    <x v="4"/>
    <n v="0.9"/>
    <x v="2"/>
    <n v="17"/>
    <s v="Small"/>
    <x v="0"/>
    <n v="49.937429000000002"/>
    <n v="14.182639999999999"/>
    <s v="Available"/>
    <x v="1"/>
    <d v="2024-03-18T00:00:00"/>
    <s v="March"/>
    <s v="John Johnson"/>
    <s v="OK"/>
  </r>
  <r>
    <n v="271"/>
    <x v="2"/>
    <x v="4"/>
    <n v="0.32"/>
    <x v="2"/>
    <n v="18"/>
    <s v="Small"/>
    <x v="2"/>
    <n v="49.938634"/>
    <n v="14.179739"/>
    <s v="Available"/>
    <x v="1"/>
    <d v="2024-03-18T00:00:00"/>
    <s v="March"/>
    <s v="John Johnson"/>
    <s v="OK"/>
  </r>
  <r>
    <n v="272"/>
    <x v="2"/>
    <x v="4"/>
    <n v="0.26600000000000001"/>
    <x v="2"/>
    <n v="17"/>
    <s v="Small"/>
    <x v="0"/>
    <n v="49.939062"/>
    <n v="14.177939"/>
    <s v="Available"/>
    <x v="1"/>
    <d v="2024-03-18T00:00:00"/>
    <s v="March"/>
    <s v="John Johnson"/>
    <s v="OK"/>
  </r>
  <r>
    <n v="273"/>
    <x v="3"/>
    <x v="1"/>
    <n v="1.1000000000000001"/>
    <x v="2"/>
    <n v="19"/>
    <s v="Small"/>
    <x v="2"/>
    <n v="48.502512000000003"/>
    <n v="20.563331000000002"/>
    <s v="Available"/>
    <x v="1"/>
    <d v="2024-03-19T00:00:00"/>
    <s v="March"/>
    <s v="Anne Anthony"/>
    <s v="OK"/>
  </r>
  <r>
    <n v="274"/>
    <x v="3"/>
    <x v="0"/>
    <n v="0.4"/>
    <x v="2"/>
    <n v="16"/>
    <s v="Small"/>
    <x v="0"/>
    <n v="52.214758000000003"/>
    <n v="21.030697"/>
    <s v="Available"/>
    <x v="1"/>
    <d v="2024-03-19T00:00:00"/>
    <s v="March"/>
    <s v="Anne Anthony"/>
    <s v="OK"/>
  </r>
  <r>
    <n v="275"/>
    <x v="3"/>
    <x v="5"/>
    <n v="1.1000000000000001"/>
    <x v="2"/>
    <n v="21"/>
    <s v="Small"/>
    <x v="2"/>
    <n v="47.781211999999996"/>
    <n v="14.384017"/>
    <s v="Available"/>
    <x v="1"/>
    <d v="2024-03-19T00:00:00"/>
    <s v="March"/>
    <s v="Bob Bobson"/>
    <s v="OK"/>
  </r>
  <r>
    <n v="276"/>
    <x v="3"/>
    <x v="5"/>
    <n v="0.7"/>
    <x v="2"/>
    <n v="25"/>
    <s v="Small"/>
    <x v="0"/>
    <n v="47.781764000000003"/>
    <n v="14.383279999999999"/>
    <s v="Available"/>
    <x v="1"/>
    <d v="2024-03-19T00:00:00"/>
    <s v="March"/>
    <s v="Bob Bobson"/>
    <s v="OK"/>
  </r>
  <r>
    <n v="277"/>
    <x v="3"/>
    <x v="5"/>
    <n v="1.1000000000000001"/>
    <x v="2"/>
    <n v="24"/>
    <s v="Small"/>
    <x v="0"/>
    <n v="47.781883000000001"/>
    <n v="14.382628"/>
    <s v="Available"/>
    <x v="1"/>
    <d v="2024-03-19T00:00:00"/>
    <s v="March"/>
    <s v="Bob Bobson"/>
    <s v="OK"/>
  </r>
  <r>
    <n v="278"/>
    <x v="3"/>
    <x v="5"/>
    <n v="0.4"/>
    <x v="2"/>
    <n v="21"/>
    <s v="Small"/>
    <x v="2"/>
    <n v="47.781092999999998"/>
    <n v="14.38209"/>
    <s v="Available"/>
    <x v="1"/>
    <d v="2024-03-19T00:00:00"/>
    <s v="March"/>
    <s v="Bob Bobson"/>
    <s v="OK"/>
  </r>
  <r>
    <n v="279"/>
    <x v="3"/>
    <x v="2"/>
    <n v="0.8"/>
    <x v="2"/>
    <n v="16"/>
    <s v="Small"/>
    <x v="0"/>
    <n v="52.585957999999998"/>
    <n v="13.147098"/>
    <s v="Available"/>
    <x v="1"/>
    <d v="2024-03-19T00:00:00"/>
    <s v="March"/>
    <s v="Bob Bobson"/>
    <s v="OK"/>
  </r>
  <r>
    <n v="280"/>
    <x v="3"/>
    <x v="2"/>
    <n v="0.5"/>
    <x v="2"/>
    <n v="18"/>
    <s v="Small"/>
    <x v="2"/>
    <n v="52.586199000000001"/>
    <n v="13.152793000000001"/>
    <s v="Available"/>
    <x v="1"/>
    <d v="2024-03-19T00:00:00"/>
    <s v="March"/>
    <s v="Bob Bobson"/>
    <s v="OK"/>
  </r>
  <r>
    <n v="281"/>
    <x v="3"/>
    <x v="2"/>
    <n v="0.5"/>
    <x v="2"/>
    <n v="18"/>
    <s v="Small"/>
    <x v="0"/>
    <n v="52.586588999999996"/>
    <n v="13.146651"/>
    <s v="Available"/>
    <x v="1"/>
    <d v="2024-03-19T00:00:00"/>
    <s v="March"/>
    <s v="Bob Bobson"/>
    <s v="OK"/>
  </r>
  <r>
    <n v="282"/>
    <x v="3"/>
    <x v="2"/>
    <n v="0.4"/>
    <x v="2"/>
    <n v="13"/>
    <s v="Small"/>
    <x v="2"/>
    <n v="52.587327000000002"/>
    <n v="13.149206"/>
    <s v="Available"/>
    <x v="1"/>
    <d v="2024-03-19T00:00:00"/>
    <s v="March"/>
    <s v="Bob Bobson"/>
    <s v="OK"/>
  </r>
  <r>
    <n v="283"/>
    <x v="3"/>
    <x v="2"/>
    <n v="1"/>
    <x v="2"/>
    <n v="21"/>
    <s v="Small"/>
    <x v="0"/>
    <n v="52.585937000000001"/>
    <n v="13.146151"/>
    <s v="Available"/>
    <x v="1"/>
    <d v="2024-03-19T00:00:00"/>
    <s v="March"/>
    <s v="Bob Bobson"/>
    <s v="OK"/>
  </r>
  <r>
    <n v="284"/>
    <x v="3"/>
    <x v="4"/>
    <n v="1"/>
    <x v="2"/>
    <n v="17"/>
    <s v="Small"/>
    <x v="2"/>
    <n v="49.937696000000003"/>
    <n v="14.182707000000001"/>
    <s v="Available"/>
    <x v="1"/>
    <d v="2024-03-19T00:00:00"/>
    <s v="March"/>
    <s v="John Johnson"/>
    <s v="OK"/>
  </r>
  <r>
    <n v="285"/>
    <x v="1"/>
    <x v="3"/>
    <n v="16"/>
    <x v="2"/>
    <n v="65"/>
    <s v="Medium"/>
    <x v="0"/>
    <n v="48.405926000000001"/>
    <n v="18.839219"/>
    <s v="Available"/>
    <x v="1"/>
    <d v="2024-03-19T00:00:00"/>
    <s v="March"/>
    <s v="John Johnson"/>
    <s v="OK"/>
  </r>
  <r>
    <n v="286"/>
    <x v="2"/>
    <x v="3"/>
    <n v="0.33"/>
    <x v="2"/>
    <n v="18"/>
    <s v="Small"/>
    <x v="1"/>
    <n v="48.184756999999998"/>
    <n v="17.082936"/>
    <s v="Available"/>
    <x v="1"/>
    <d v="2024-03-19T00:00:00"/>
    <s v="March"/>
    <s v="John Johnson"/>
    <s v="OK"/>
  </r>
  <r>
    <n v="287"/>
    <x v="2"/>
    <x v="3"/>
    <n v="0.32300000000000001"/>
    <x v="2"/>
    <n v="23"/>
    <s v="Small"/>
    <x v="2"/>
    <n v="48.186767000000003"/>
    <n v="17.089935000000001"/>
    <s v="Available"/>
    <x v="1"/>
    <d v="2024-03-19T00:00:00"/>
    <s v="March"/>
    <s v="John Johnson"/>
    <s v="OK"/>
  </r>
  <r>
    <n v="288"/>
    <x v="3"/>
    <x v="0"/>
    <n v="0.4"/>
    <x v="2"/>
    <n v="16"/>
    <s v="Small"/>
    <x v="2"/>
    <n v="52.214753999999999"/>
    <n v="21.034364"/>
    <s v="Available"/>
    <x v="1"/>
    <d v="2024-03-20T00:00:00"/>
    <s v="March"/>
    <s v="Anne Anthony"/>
    <s v="OK"/>
  </r>
  <r>
    <n v="289"/>
    <x v="3"/>
    <x v="0"/>
    <n v="0.7"/>
    <x v="2"/>
    <n v="26"/>
    <s v="Small"/>
    <x v="0"/>
    <n v="52.215034000000003"/>
    <n v="21.03303"/>
    <s v="Available"/>
    <x v="1"/>
    <d v="2024-03-20T00:00:00"/>
    <s v="March"/>
    <s v="Anne Anthony"/>
    <s v="OK"/>
  </r>
  <r>
    <n v="290"/>
    <x v="2"/>
    <x v="0"/>
    <n v="0.35"/>
    <x v="2"/>
    <n v="19"/>
    <s v="Small"/>
    <x v="2"/>
    <n v="52.241636999999997"/>
    <n v="21.051539999999999"/>
    <s v="Available"/>
    <x v="1"/>
    <d v="2024-03-20T00:00:00"/>
    <s v="March"/>
    <s v="Anne Anthony"/>
    <s v="OK"/>
  </r>
  <r>
    <n v="291"/>
    <x v="2"/>
    <x v="1"/>
    <n v="0.28399999999999997"/>
    <x v="2"/>
    <n v="18"/>
    <s v="Small"/>
    <x v="2"/>
    <n v="47.505786000000001"/>
    <n v="18.943124000000001"/>
    <s v="Available"/>
    <x v="1"/>
    <d v="2024-03-20T00:00:00"/>
    <s v="March"/>
    <s v="Anne Anthony"/>
    <s v="OK"/>
  </r>
  <r>
    <n v="292"/>
    <x v="3"/>
    <x v="4"/>
    <n v="0.5"/>
    <x v="2"/>
    <n v="13"/>
    <s v="Small"/>
    <x v="0"/>
    <n v="49.937455"/>
    <n v="14.180775000000001"/>
    <s v="Available"/>
    <x v="1"/>
    <d v="2024-03-20T00:00:00"/>
    <s v="March"/>
    <s v="John Johnson"/>
    <s v="OK"/>
  </r>
  <r>
    <n v="293"/>
    <x v="1"/>
    <x v="3"/>
    <n v="17"/>
    <x v="2"/>
    <n v="80"/>
    <s v="Medium"/>
    <x v="2"/>
    <n v="48.407449"/>
    <n v="18.850762"/>
    <s v="Available"/>
    <x v="1"/>
    <d v="2024-03-20T00:00:00"/>
    <s v="March"/>
    <s v="John Johnson"/>
    <s v="OK"/>
  </r>
  <r>
    <n v="294"/>
    <x v="0"/>
    <x v="0"/>
    <n v="302"/>
    <x v="0"/>
    <n v="150"/>
    <s v="Very Large"/>
    <x v="2"/>
    <n v="52.820447000000001"/>
    <n v="23.813258999999999"/>
    <s v="Available"/>
    <x v="1"/>
    <d v="2024-03-21T00:00:00"/>
    <s v="March"/>
    <s v="Anne Anthony"/>
    <s v="OK"/>
  </r>
  <r>
    <n v="295"/>
    <x v="3"/>
    <x v="1"/>
    <n v="1.2"/>
    <x v="2"/>
    <n v="29"/>
    <s v="Small"/>
    <x v="0"/>
    <n v="48.503794999999997"/>
    <n v="20.555931999999999"/>
    <s v="Available"/>
    <x v="1"/>
    <d v="2024-03-21T00:00:00"/>
    <s v="March"/>
    <s v="Anne Anthony"/>
    <s v="OK"/>
  </r>
  <r>
    <n v="296"/>
    <x v="3"/>
    <x v="0"/>
    <n v="1.2"/>
    <x v="2"/>
    <n v="25"/>
    <s v="Small"/>
    <x v="0"/>
    <n v="52.214156000000003"/>
    <n v="21.032499999999999"/>
    <s v="Available"/>
    <x v="1"/>
    <d v="2024-03-21T00:00:00"/>
    <s v="March"/>
    <s v="Anne Anthony"/>
    <s v="OK"/>
  </r>
  <r>
    <n v="297"/>
    <x v="1"/>
    <x v="0"/>
    <n v="21.3333333333333"/>
    <x v="1"/>
    <n v="75"/>
    <s v="Medium"/>
    <x v="0"/>
    <n v="52.831229"/>
    <n v="23.814122999999999"/>
    <s v="Available"/>
    <x v="1"/>
    <d v="2024-03-21T00:00:00"/>
    <s v="March"/>
    <s v="Anne Anthony"/>
    <s v="OK"/>
  </r>
  <r>
    <n v="298"/>
    <x v="1"/>
    <x v="0"/>
    <n v="18"/>
    <x v="2"/>
    <n v="73"/>
    <s v="Medium"/>
    <x v="2"/>
    <n v="52.832726000000001"/>
    <n v="23.825032"/>
    <s v="Available"/>
    <x v="1"/>
    <d v="2024-03-21T00:00:00"/>
    <s v="March"/>
    <s v="Anne Anthony"/>
    <s v="OK"/>
  </r>
  <r>
    <n v="299"/>
    <x v="2"/>
    <x v="0"/>
    <n v="0.33"/>
    <x v="2"/>
    <n v="23"/>
    <s v="Small"/>
    <x v="0"/>
    <n v="50.041479000000002"/>
    <n v="19.951211000000001"/>
    <s v="Available"/>
    <x v="1"/>
    <d v="2024-03-21T00:00:00"/>
    <s v="March"/>
    <s v="Anne Anthony"/>
    <s v="OK"/>
  </r>
  <r>
    <n v="300"/>
    <x v="2"/>
    <x v="0"/>
    <n v="0.297366504854368"/>
    <x v="2"/>
    <n v="20.418848167539199"/>
    <s v="Small"/>
    <x v="0"/>
    <n v="50.041153999999999"/>
    <n v="19.949919000000001"/>
    <s v="Available"/>
    <x v="1"/>
    <d v="2024-03-21T00:00:00"/>
    <s v="March"/>
    <s v="Anne Anthony"/>
    <s v="OK"/>
  </r>
  <r>
    <n v="301"/>
    <x v="2"/>
    <x v="1"/>
    <n v="0.315"/>
    <x v="2"/>
    <n v="19"/>
    <s v="Small"/>
    <x v="0"/>
    <n v="47.506413999999999"/>
    <n v="18.941655000000001"/>
    <s v="Available"/>
    <x v="1"/>
    <d v="2024-03-21T00:00:00"/>
    <s v="March"/>
    <s v="Anne Anthony"/>
    <s v="OK"/>
  </r>
  <r>
    <n v="302"/>
    <x v="3"/>
    <x v="5"/>
    <n v="0.8"/>
    <x v="2"/>
    <n v="24"/>
    <s v="Small"/>
    <x v="0"/>
    <n v="47.781236"/>
    <n v="14.382218999999999"/>
    <s v="Available"/>
    <x v="1"/>
    <d v="2024-03-21T00:00:00"/>
    <s v="March"/>
    <s v="Bob Bobson"/>
    <s v="OK"/>
  </r>
  <r>
    <n v="303"/>
    <x v="3"/>
    <x v="5"/>
    <n v="0.6"/>
    <x v="2"/>
    <n v="14"/>
    <s v="Small"/>
    <x v="2"/>
    <n v="47.781247999999998"/>
    <n v="14.382649000000001"/>
    <s v="Available"/>
    <x v="1"/>
    <d v="2024-03-21T00:00:00"/>
    <s v="March"/>
    <s v="Bob Bobson"/>
    <s v="OK"/>
  </r>
  <r>
    <n v="304"/>
    <x v="3"/>
    <x v="2"/>
    <n v="1.1000000000000001"/>
    <x v="2"/>
    <n v="21"/>
    <s v="Small"/>
    <x v="0"/>
    <n v="52.585628"/>
    <n v="13.149093000000001"/>
    <s v="Available"/>
    <x v="1"/>
    <d v="2024-03-21T00:00:00"/>
    <s v="March"/>
    <s v="Bob Bobson"/>
    <s v="OK"/>
  </r>
  <r>
    <n v="305"/>
    <x v="3"/>
    <x v="2"/>
    <n v="1.1000000000000001"/>
    <x v="2"/>
    <n v="22"/>
    <s v="Small"/>
    <x v="2"/>
    <n v="52.583289999999998"/>
    <n v="13.149155"/>
    <s v="Available"/>
    <x v="1"/>
    <d v="2024-03-21T00:00:00"/>
    <s v="March"/>
    <s v="Bob Bobson"/>
    <s v="OK"/>
  </r>
  <r>
    <n v="306"/>
    <x v="1"/>
    <x v="5"/>
    <n v="20"/>
    <x v="1"/>
    <n v="74"/>
    <s v="Medium"/>
    <x v="2"/>
    <n v="47.781106000000001"/>
    <n v="14.382184000000001"/>
    <s v="Available"/>
    <x v="1"/>
    <d v="2024-03-21T00:00:00"/>
    <s v="March"/>
    <s v="Bob Bobson"/>
    <s v="OK"/>
  </r>
  <r>
    <n v="307"/>
    <x v="2"/>
    <x v="2"/>
    <n v="0.32300000000000001"/>
    <x v="2"/>
    <n v="20"/>
    <s v="Small"/>
    <x v="0"/>
    <n v="52.581896"/>
    <n v="13.151801000000001"/>
    <s v="Available"/>
    <x v="1"/>
    <d v="2024-03-21T00:00:00"/>
    <s v="March"/>
    <s v="Bob Bobson"/>
    <s v="OK"/>
  </r>
  <r>
    <n v="308"/>
    <x v="2"/>
    <x v="2"/>
    <n v="0.27600000000000002"/>
    <x v="2"/>
    <n v="21"/>
    <s v="Small"/>
    <x v="2"/>
    <n v="52.581885"/>
    <n v="13.152811"/>
    <s v="Available"/>
    <x v="1"/>
    <d v="2024-03-21T00:00:00"/>
    <s v="March"/>
    <s v="Bob Bobson"/>
    <s v="OK"/>
  </r>
  <r>
    <n v="309"/>
    <x v="2"/>
    <x v="2"/>
    <n v="0.33900000000000002"/>
    <x v="2"/>
    <n v="21"/>
    <s v="Small"/>
    <x v="0"/>
    <n v="52.587248000000002"/>
    <n v="13.151498999999999"/>
    <s v="Available"/>
    <x v="1"/>
    <d v="2024-03-21T00:00:00"/>
    <s v="March"/>
    <s v="Bob Bobson"/>
    <s v="OK"/>
  </r>
  <r>
    <n v="310"/>
    <x v="2"/>
    <x v="2"/>
    <n v="0.34"/>
    <x v="2"/>
    <n v="19"/>
    <s v="Small"/>
    <x v="2"/>
    <n v="52.582369999999997"/>
    <n v="13.146855"/>
    <s v="Available"/>
    <x v="1"/>
    <d v="2024-03-21T00:00:00"/>
    <s v="March"/>
    <s v="Bob Bobson"/>
    <s v="OK"/>
  </r>
  <r>
    <n v="311"/>
    <x v="0"/>
    <x v="4"/>
    <n v="750"/>
    <x v="0"/>
    <n v="242"/>
    <s v="Very Large"/>
    <x v="0"/>
    <n v="50.638137"/>
    <n v="14.838129"/>
    <s v="Available"/>
    <x v="1"/>
    <d v="2024-03-21T00:00:00"/>
    <s v="March"/>
    <s v="John Johnson"/>
    <s v="OK"/>
  </r>
  <r>
    <n v="312"/>
    <x v="0"/>
    <x v="4"/>
    <n v="35"/>
    <x v="1"/>
    <n v="110"/>
    <s v="Large"/>
    <x v="0"/>
    <n v="50.640732999999997"/>
    <n v="14.84516"/>
    <s v="Available"/>
    <x v="1"/>
    <d v="2024-03-21T00:00:00"/>
    <s v="March"/>
    <s v="John Johnson"/>
    <s v="OK"/>
  </r>
  <r>
    <n v="313"/>
    <x v="0"/>
    <x v="4"/>
    <n v="360"/>
    <x v="0"/>
    <n v="175"/>
    <s v="Very Large"/>
    <x v="2"/>
    <n v="50.636642000000002"/>
    <n v="14.847946"/>
    <s v="Available"/>
    <x v="1"/>
    <d v="2024-03-21T00:00:00"/>
    <s v="March"/>
    <s v="John Johnson"/>
    <s v="OK"/>
  </r>
  <r>
    <n v="314"/>
    <x v="3"/>
    <x v="4"/>
    <n v="1.1000000000000001"/>
    <x v="2"/>
    <n v="18"/>
    <s v="Small"/>
    <x v="2"/>
    <n v="49.939473999999997"/>
    <n v="14.180897"/>
    <s v="Available"/>
    <x v="1"/>
    <d v="2024-03-21T00:00:00"/>
    <s v="March"/>
    <s v="John Johnson"/>
    <s v="OK"/>
  </r>
  <r>
    <n v="315"/>
    <x v="2"/>
    <x v="4"/>
    <n v="0.33500000000000002"/>
    <x v="2"/>
    <n v="20"/>
    <s v="Small"/>
    <x v="0"/>
    <n v="49.938958"/>
    <n v="14.181258"/>
    <s v="Available"/>
    <x v="1"/>
    <d v="2024-03-21T00:00:00"/>
    <s v="March"/>
    <s v="John Johnson"/>
    <s v="OK"/>
  </r>
  <r>
    <n v="316"/>
    <x v="2"/>
    <x v="3"/>
    <n v="0.27300000000000002"/>
    <x v="2"/>
    <n v="23"/>
    <s v="Small"/>
    <x v="0"/>
    <n v="48.185898000000002"/>
    <n v="17.090682999999999"/>
    <s v="Available"/>
    <x v="1"/>
    <d v="2024-03-21T00:00:00"/>
    <s v="March"/>
    <s v="John Johnson"/>
    <s v="OK"/>
  </r>
  <r>
    <n v="317"/>
    <x v="2"/>
    <x v="3"/>
    <n v="0.33"/>
    <x v="2"/>
    <n v="19"/>
    <s v="Small"/>
    <x v="0"/>
    <n v="48.186672000000002"/>
    <n v="17.091508000000001"/>
    <s v="Available"/>
    <x v="1"/>
    <d v="2024-03-21T00:00:00"/>
    <s v="March"/>
    <s v="John Johnson"/>
    <s v="OK"/>
  </r>
  <r>
    <n v="318"/>
    <x v="2"/>
    <x v="3"/>
    <n v="0.32900000000000001"/>
    <x v="2"/>
    <n v="19"/>
    <s v="Small"/>
    <x v="2"/>
    <n v="48.18685"/>
    <n v="17.091228000000001"/>
    <s v="Available"/>
    <x v="1"/>
    <d v="2024-03-21T00:00:00"/>
    <s v="March"/>
    <s v="John Johnson"/>
    <s v="OK"/>
  </r>
  <r>
    <n v="319"/>
    <x v="0"/>
    <x v="0"/>
    <n v="1000"/>
    <x v="0"/>
    <n v="320"/>
    <s v="Very Large"/>
    <x v="0"/>
    <n v="52.825470000000003"/>
    <n v="23.81307"/>
    <s v="Available"/>
    <x v="5"/>
    <d v="2024-03-22T00:00:00"/>
    <s v="March"/>
    <s v="Anne Anthony"/>
    <s v="OK"/>
  </r>
  <r>
    <n v="320"/>
    <x v="3"/>
    <x v="1"/>
    <n v="1.1000000000000001"/>
    <x v="2"/>
    <n v="18"/>
    <s v="Small"/>
    <x v="0"/>
    <n v="48.503062"/>
    <n v="20.551697999999998"/>
    <s v="Available"/>
    <x v="1"/>
    <d v="2024-03-22T00:00:00"/>
    <s v="March"/>
    <s v="Anne Anthony"/>
    <s v="OK"/>
  </r>
  <r>
    <n v="321"/>
    <x v="2"/>
    <x v="2"/>
    <n v="0.30599999999999999"/>
    <x v="2"/>
    <n v="23"/>
    <s v="Small"/>
    <x v="0"/>
    <n v="52.584352000000003"/>
    <n v="13.148089000000001"/>
    <s v="Available"/>
    <x v="1"/>
    <d v="2024-03-22T00:00:00"/>
    <s v="March"/>
    <s v="Bob Bobson"/>
    <s v="OK"/>
  </r>
  <r>
    <n v="322"/>
    <x v="2"/>
    <x v="2"/>
    <n v="0.33400000000000002"/>
    <x v="2"/>
    <n v="19"/>
    <s v="Small"/>
    <x v="0"/>
    <n v="52.587862999999999"/>
    <n v="13.147785000000001"/>
    <s v="Available"/>
    <x v="1"/>
    <d v="2024-03-22T00:00:00"/>
    <s v="March"/>
    <s v="Bob Bobson"/>
    <s v="OK"/>
  </r>
  <r>
    <n v="323"/>
    <x v="2"/>
    <x v="2"/>
    <n v="0.33400000000000002"/>
    <x v="2"/>
    <n v="21"/>
    <s v="Small"/>
    <x v="0"/>
    <n v="52.587733999999998"/>
    <n v="13.151377999999999"/>
    <s v="Available"/>
    <x v="1"/>
    <d v="2024-03-22T00:00:00"/>
    <s v="March"/>
    <s v="Bob Bobson"/>
    <s v="OK"/>
  </r>
  <r>
    <n v="324"/>
    <x v="2"/>
    <x v="2"/>
    <n v="0.32900000000000001"/>
    <x v="2"/>
    <n v="19"/>
    <s v="Small"/>
    <x v="2"/>
    <n v="52.582754000000001"/>
    <n v="13.145364000000001"/>
    <s v="Available"/>
    <x v="1"/>
    <d v="2024-03-22T00:00:00"/>
    <s v="March"/>
    <s v="Bob Bobson"/>
    <s v="OK"/>
  </r>
  <r>
    <n v="325"/>
    <x v="2"/>
    <x v="2"/>
    <n v="0.317"/>
    <x v="2"/>
    <n v="22"/>
    <s v="Small"/>
    <x v="0"/>
    <n v="52.585517000000003"/>
    <n v="13.150878000000001"/>
    <s v="Available"/>
    <x v="1"/>
    <d v="2024-03-22T00:00:00"/>
    <s v="March"/>
    <s v="Bob Bobson"/>
    <s v="OK"/>
  </r>
  <r>
    <n v="326"/>
    <x v="2"/>
    <x v="2"/>
    <n v="0.26700000000000002"/>
    <x v="2"/>
    <n v="21"/>
    <s v="Small"/>
    <x v="2"/>
    <n v="52.588833999999999"/>
    <n v="13.15192"/>
    <s v="Available"/>
    <x v="1"/>
    <d v="2024-03-22T00:00:00"/>
    <s v="March"/>
    <s v="Bob Bobson"/>
    <s v="OK"/>
  </r>
  <r>
    <n v="327"/>
    <x v="0"/>
    <x v="4"/>
    <n v="603"/>
    <x v="0"/>
    <n v="291"/>
    <s v="Very Large"/>
    <x v="0"/>
    <n v="50.644812999999999"/>
    <n v="14.839817"/>
    <s v="Available"/>
    <x v="1"/>
    <d v="2024-03-22T00:00:00"/>
    <s v="March"/>
    <s v="John Johnson"/>
    <s v="OK"/>
  </r>
  <r>
    <n v="328"/>
    <x v="0"/>
    <x v="4"/>
    <n v="717"/>
    <x v="0"/>
    <n v="305"/>
    <s v="Very Large"/>
    <x v="0"/>
    <n v="50.635565"/>
    <n v="14.839320000000001"/>
    <s v="Available"/>
    <x v="1"/>
    <d v="2024-03-22T00:00:00"/>
    <s v="March"/>
    <s v="John Johnson"/>
    <s v="OK"/>
  </r>
  <r>
    <n v="329"/>
    <x v="0"/>
    <x v="4"/>
    <n v="390"/>
    <x v="0"/>
    <n v="145"/>
    <s v="Large"/>
    <x v="2"/>
    <n v="50.639856000000002"/>
    <n v="14.847626"/>
    <s v="Available"/>
    <x v="1"/>
    <d v="2024-03-22T00:00:00"/>
    <s v="March"/>
    <s v="John Johnson"/>
    <s v="OK"/>
  </r>
  <r>
    <n v="330"/>
    <x v="3"/>
    <x v="4"/>
    <n v="0.6"/>
    <x v="2"/>
    <n v="21"/>
    <s v="Small"/>
    <x v="2"/>
    <n v="49.939062"/>
    <n v="14.178750000000001"/>
    <s v="Available"/>
    <x v="1"/>
    <d v="2024-03-22T00:00:00"/>
    <s v="March"/>
    <s v="John Johnson"/>
    <s v="OK"/>
  </r>
  <r>
    <n v="331"/>
    <x v="3"/>
    <x v="4"/>
    <n v="1.1000000000000001"/>
    <x v="2"/>
    <n v="21"/>
    <s v="Small"/>
    <x v="0"/>
    <n v="49.939165000000003"/>
    <n v="14.182528"/>
    <s v="Available"/>
    <x v="1"/>
    <d v="2024-03-22T00:00:00"/>
    <s v="March"/>
    <s v="John Johnson"/>
    <s v="OK"/>
  </r>
  <r>
    <n v="332"/>
    <x v="3"/>
    <x v="4"/>
    <n v="0.7"/>
    <x v="2"/>
    <n v="18"/>
    <s v="Small"/>
    <x v="2"/>
    <n v="49.937562"/>
    <n v="14.181101"/>
    <s v="Available"/>
    <x v="1"/>
    <d v="2024-03-22T00:00:00"/>
    <s v="March"/>
    <s v="John Johnson"/>
    <s v="OK"/>
  </r>
  <r>
    <n v="333"/>
    <x v="3"/>
    <x v="4"/>
    <n v="1.2"/>
    <x v="2"/>
    <n v="23"/>
    <s v="Small"/>
    <x v="0"/>
    <n v="49.939200999999997"/>
    <n v="14.178922999999999"/>
    <s v="Available"/>
    <x v="1"/>
    <d v="2024-03-22T00:00:00"/>
    <s v="March"/>
    <s v="John Johnson"/>
    <s v="OK"/>
  </r>
  <r>
    <n v="334"/>
    <x v="1"/>
    <x v="3"/>
    <n v="25"/>
    <x v="1"/>
    <n v="96"/>
    <s v="Medium"/>
    <x v="2"/>
    <n v="48.410693000000002"/>
    <n v="18.832844999999999"/>
    <s v="Available"/>
    <x v="1"/>
    <d v="2024-03-22T00:00:00"/>
    <s v="March"/>
    <s v="John Johnson"/>
    <s v="OK"/>
  </r>
  <r>
    <n v="335"/>
    <x v="0"/>
    <x v="0"/>
    <n v="660"/>
    <x v="0"/>
    <n v="246"/>
    <s v="Very Large"/>
    <x v="2"/>
    <n v="52.824078999999998"/>
    <n v="23.81279"/>
    <s v="Available"/>
    <x v="1"/>
    <d v="2024-03-23T00:00:00"/>
    <s v="March"/>
    <s v="Anne Anthony"/>
    <s v="OK"/>
  </r>
  <r>
    <n v="336"/>
    <x v="0"/>
    <x v="0"/>
    <n v="619"/>
    <x v="0"/>
    <n v="248"/>
    <s v="Very Large"/>
    <x v="2"/>
    <n v="52.826081000000002"/>
    <n v="23.815823000000002"/>
    <s v="Available"/>
    <x v="1"/>
    <d v="2024-03-23T00:00:00"/>
    <s v="March"/>
    <s v="Anne Anthony"/>
    <s v="OK"/>
  </r>
  <r>
    <n v="337"/>
    <x v="3"/>
    <x v="1"/>
    <n v="0.6"/>
    <x v="2"/>
    <n v="19"/>
    <s v="Small"/>
    <x v="2"/>
    <n v="48.503498"/>
    <n v="20.539662"/>
    <s v="Available"/>
    <x v="1"/>
    <d v="2024-03-23T00:00:00"/>
    <s v="March"/>
    <s v="Anne Anthony"/>
    <s v="OK"/>
  </r>
  <r>
    <n v="338"/>
    <x v="3"/>
    <x v="1"/>
    <n v="0.8"/>
    <x v="2"/>
    <n v="25"/>
    <s v="Small"/>
    <x v="0"/>
    <n v="48.509298000000001"/>
    <n v="20.551977000000001"/>
    <s v="Available"/>
    <x v="1"/>
    <d v="2024-03-23T00:00:00"/>
    <s v="March"/>
    <s v="Anne Anthony"/>
    <s v="OK"/>
  </r>
  <r>
    <n v="339"/>
    <x v="3"/>
    <x v="1"/>
    <n v="0.4"/>
    <x v="2"/>
    <n v="15"/>
    <s v="Small"/>
    <x v="2"/>
    <n v="48.506205999999999"/>
    <n v="20.565308000000002"/>
    <s v="Available"/>
    <x v="1"/>
    <d v="2024-03-23T00:00:00"/>
    <s v="March"/>
    <s v="Anne Anthony"/>
    <s v="OK"/>
  </r>
  <r>
    <n v="340"/>
    <x v="3"/>
    <x v="1"/>
    <n v="1.1000000000000001"/>
    <x v="2"/>
    <n v="22"/>
    <s v="Small"/>
    <x v="0"/>
    <n v="48.505090000000003"/>
    <n v="20.539448"/>
    <s v="Available"/>
    <x v="1"/>
    <d v="2024-03-23T00:00:00"/>
    <s v="March"/>
    <s v="Anne Anthony"/>
    <s v="OK"/>
  </r>
  <r>
    <n v="341"/>
    <x v="3"/>
    <x v="0"/>
    <n v="0.8"/>
    <x v="2"/>
    <n v="20"/>
    <s v="Small"/>
    <x v="2"/>
    <n v="52.215038999999997"/>
    <n v="21.032591"/>
    <s v="Available"/>
    <x v="1"/>
    <d v="2024-03-23T00:00:00"/>
    <s v="March"/>
    <s v="Anne Anthony"/>
    <s v="OK"/>
  </r>
  <r>
    <n v="342"/>
    <x v="3"/>
    <x v="0"/>
    <n v="0.5"/>
    <x v="2"/>
    <n v="19"/>
    <s v="Small"/>
    <x v="2"/>
    <n v="52.215085000000002"/>
    <n v="21.034198"/>
    <s v="Available"/>
    <x v="1"/>
    <d v="2024-03-23T00:00:00"/>
    <s v="March"/>
    <s v="Anne Anthony"/>
    <s v="OK"/>
  </r>
  <r>
    <n v="343"/>
    <x v="2"/>
    <x v="0"/>
    <n v="0.34799999999999998"/>
    <x v="2"/>
    <n v="20"/>
    <s v="Small"/>
    <x v="2"/>
    <n v="50.04186"/>
    <n v="19.950192000000001"/>
    <s v="Available"/>
    <x v="1"/>
    <d v="2024-03-23T00:00:00"/>
    <s v="March"/>
    <s v="Anne Anthony"/>
    <s v="OK"/>
  </r>
  <r>
    <n v="344"/>
    <x v="2"/>
    <x v="1"/>
    <n v="0.30099999999999999"/>
    <x v="2"/>
    <n v="18"/>
    <s v="Small"/>
    <x v="0"/>
    <n v="47.510260000000002"/>
    <n v="18.947838000000001"/>
    <s v="Available"/>
    <x v="1"/>
    <d v="2024-03-23T00:00:00"/>
    <s v="March"/>
    <s v="Anne Anthony"/>
    <s v="OK"/>
  </r>
  <r>
    <n v="345"/>
    <x v="3"/>
    <x v="4"/>
    <n v="0.7"/>
    <x v="2"/>
    <n v="20"/>
    <s v="Small"/>
    <x v="2"/>
    <n v="49.937454000000002"/>
    <n v="14.182121"/>
    <s v="Available"/>
    <x v="1"/>
    <d v="2024-03-23T00:00:00"/>
    <s v="March"/>
    <s v="John Johnson"/>
    <s v="OK"/>
  </r>
  <r>
    <n v="346"/>
    <x v="3"/>
    <x v="4"/>
    <n v="1"/>
    <x v="2"/>
    <n v="21"/>
    <s v="Small"/>
    <x v="2"/>
    <n v="49.937787999999998"/>
    <n v="14.180368"/>
    <s v="Available"/>
    <x v="1"/>
    <d v="2024-03-23T00:00:00"/>
    <s v="March"/>
    <s v="John Johnson"/>
    <s v="OK"/>
  </r>
  <r>
    <n v="347"/>
    <x v="2"/>
    <x v="0"/>
    <n v="0.28599999999999998"/>
    <x v="2"/>
    <n v="20"/>
    <s v="Small"/>
    <x v="2"/>
    <n v="50.041130000000003"/>
    <n v="19.949698000000001"/>
    <s v="Available"/>
    <x v="1"/>
    <d v="2024-03-24T00:00:00"/>
    <s v="March"/>
    <s v="Anne Anthony"/>
    <s v="OK"/>
  </r>
  <r>
    <n v="348"/>
    <x v="2"/>
    <x v="0"/>
    <n v="0.28199999999999997"/>
    <x v="2"/>
    <n v="21"/>
    <s v="Small"/>
    <x v="2"/>
    <n v="50.041522000000001"/>
    <n v="19.950562999999999"/>
    <s v="Available"/>
    <x v="6"/>
    <d v="2024-03-24T00:00:00"/>
    <s v="March"/>
    <s v="Anne Anthony"/>
    <s v="OK"/>
  </r>
  <r>
    <n v="349"/>
    <x v="3"/>
    <x v="5"/>
    <n v="0.8"/>
    <x v="2"/>
    <n v="18"/>
    <s v="Small"/>
    <x v="0"/>
    <n v="47.781882000000003"/>
    <n v="14.384802000000001"/>
    <s v="Available"/>
    <x v="1"/>
    <d v="2024-03-24T00:00:00"/>
    <s v="March"/>
    <s v="Bob Bobson"/>
    <s v="OK"/>
  </r>
  <r>
    <n v="350"/>
    <x v="3"/>
    <x v="5"/>
    <n v="0.6"/>
    <x v="2"/>
    <n v="19"/>
    <s v="Small"/>
    <x v="0"/>
    <n v="47.781019000000001"/>
    <n v="14.385089000000001"/>
    <s v="Available"/>
    <x v="1"/>
    <d v="2024-03-24T00:00:00"/>
    <s v="March"/>
    <s v="Bob Bobson"/>
    <s v="OK"/>
  </r>
  <r>
    <n v="351"/>
    <x v="3"/>
    <x v="5"/>
    <n v="0.5"/>
    <x v="2"/>
    <n v="20"/>
    <s v="Small"/>
    <x v="0"/>
    <n v="47.319781999999996"/>
    <n v="11.190835999999999"/>
    <s v="Available"/>
    <x v="1"/>
    <d v="2024-03-24T00:00:00"/>
    <s v="March"/>
    <s v="Bob Bobson"/>
    <s v="OK"/>
  </r>
  <r>
    <n v="352"/>
    <x v="3"/>
    <x v="5"/>
    <n v="0.6"/>
    <x v="2"/>
    <n v="16"/>
    <s v="Small"/>
    <x v="2"/>
    <n v="47.32002"/>
    <n v="11.18557"/>
    <s v="Available"/>
    <x v="1"/>
    <d v="2024-03-24T00:00:00"/>
    <s v="March"/>
    <s v="Bob Bobson"/>
    <s v="OK"/>
  </r>
  <r>
    <n v="353"/>
    <x v="3"/>
    <x v="5"/>
    <n v="0.6"/>
    <x v="2"/>
    <n v="20"/>
    <s v="Small"/>
    <x v="0"/>
    <n v="47.318792999999999"/>
    <n v="11.185855"/>
    <s v="Available"/>
    <x v="1"/>
    <d v="2024-03-24T00:00:00"/>
    <s v="March"/>
    <s v="Bob Bobson"/>
    <s v="OK"/>
  </r>
  <r>
    <n v="354"/>
    <x v="3"/>
    <x v="5"/>
    <n v="1.1000000000000001"/>
    <x v="2"/>
    <n v="23"/>
    <s v="Small"/>
    <x v="2"/>
    <n v="47.316963000000001"/>
    <n v="11.188761"/>
    <s v="Available"/>
    <x v="1"/>
    <d v="2024-03-24T00:00:00"/>
    <s v="March"/>
    <s v="Bob Bobson"/>
    <s v="OK"/>
  </r>
  <r>
    <n v="355"/>
    <x v="3"/>
    <x v="2"/>
    <n v="0.8"/>
    <x v="2"/>
    <n v="16"/>
    <s v="Small"/>
    <x v="0"/>
    <n v="52.582071999999997"/>
    <n v="13.149184999999999"/>
    <s v="Available"/>
    <x v="1"/>
    <d v="2024-03-24T00:00:00"/>
    <s v="March"/>
    <s v="Bob Bobson"/>
    <s v="OK"/>
  </r>
  <r>
    <n v="356"/>
    <x v="3"/>
    <x v="2"/>
    <n v="1.2"/>
    <x v="2"/>
    <n v="23"/>
    <s v="Small"/>
    <x v="0"/>
    <n v="52.585720000000002"/>
    <n v="13.148612999999999"/>
    <s v="Available"/>
    <x v="1"/>
    <d v="2024-03-24T00:00:00"/>
    <s v="March"/>
    <s v="Bob Bobson"/>
    <s v="OK"/>
  </r>
  <r>
    <n v="357"/>
    <x v="3"/>
    <x v="2"/>
    <n v="0.7"/>
    <x v="2"/>
    <n v="19"/>
    <s v="Small"/>
    <x v="2"/>
    <n v="52.587826999999997"/>
    <n v="13.148164"/>
    <s v="Available"/>
    <x v="1"/>
    <d v="2024-03-24T00:00:00"/>
    <s v="March"/>
    <s v="Bob Bobson"/>
    <s v="OK"/>
  </r>
  <r>
    <n v="358"/>
    <x v="3"/>
    <x v="2"/>
    <n v="0.9"/>
    <x v="2"/>
    <n v="18.410447761194"/>
    <s v="Small"/>
    <x v="2"/>
    <n v="52.583004000000003"/>
    <n v="13.150686"/>
    <s v="Available"/>
    <x v="1"/>
    <d v="2024-03-24T00:00:00"/>
    <s v="March"/>
    <s v="Bob Bobson"/>
    <s v="OK"/>
  </r>
  <r>
    <n v="359"/>
    <x v="3"/>
    <x v="2"/>
    <n v="1.2"/>
    <x v="2"/>
    <n v="22"/>
    <s v="Small"/>
    <x v="0"/>
    <n v="52.587057999999999"/>
    <n v="13.149675"/>
    <s v="Available"/>
    <x v="1"/>
    <d v="2024-03-24T00:00:00"/>
    <s v="March"/>
    <s v="Bob Bobson"/>
    <s v="OK"/>
  </r>
  <r>
    <n v="360"/>
    <x v="3"/>
    <x v="2"/>
    <n v="0.7"/>
    <x v="2"/>
    <n v="16"/>
    <s v="Small"/>
    <x v="2"/>
    <n v="52.587539"/>
    <n v="13.146575"/>
    <s v="Available"/>
    <x v="1"/>
    <d v="2024-03-24T00:00:00"/>
    <s v="March"/>
    <s v="Bob Bobson"/>
    <s v="OK"/>
  </r>
  <r>
    <n v="361"/>
    <x v="3"/>
    <x v="2"/>
    <n v="0.6"/>
    <x v="2"/>
    <n v="25"/>
    <s v="Small"/>
    <x v="0"/>
    <n v="52.587183000000003"/>
    <n v="13.146661"/>
    <s v="Available"/>
    <x v="1"/>
    <d v="2024-03-24T00:00:00"/>
    <s v="March"/>
    <s v="Bob Bobson"/>
    <s v="OK"/>
  </r>
  <r>
    <n v="362"/>
    <x v="3"/>
    <x v="2"/>
    <n v="1"/>
    <x v="2"/>
    <n v="24"/>
    <s v="Small"/>
    <x v="0"/>
    <n v="52.586486999999998"/>
    <n v="13.150015"/>
    <s v="Available"/>
    <x v="1"/>
    <d v="2024-03-24T00:00:00"/>
    <s v="March"/>
    <s v="Bob Bobson"/>
    <s v="OK"/>
  </r>
  <r>
    <n v="363"/>
    <x v="2"/>
    <x v="2"/>
    <n v="0.313"/>
    <x v="2"/>
    <n v="23"/>
    <s v="Small"/>
    <x v="2"/>
    <n v="52.588779000000002"/>
    <n v="13.147948"/>
    <s v="Available"/>
    <x v="1"/>
    <d v="2024-03-24T00:00:00"/>
    <s v="March"/>
    <s v="Bob Bobson"/>
    <s v="OK"/>
  </r>
  <r>
    <n v="364"/>
    <x v="2"/>
    <x v="2"/>
    <n v="0.26800000000000002"/>
    <x v="2"/>
    <n v="21"/>
    <s v="Small"/>
    <x v="0"/>
    <n v="52.587088999999999"/>
    <n v="13.151807"/>
    <s v="Available"/>
    <x v="1"/>
    <d v="2024-03-24T00:00:00"/>
    <s v="March"/>
    <s v="Bob Bobson"/>
    <s v="OK"/>
  </r>
  <r>
    <n v="365"/>
    <x v="2"/>
    <x v="5"/>
    <n v="0.32300000000000001"/>
    <x v="2"/>
    <n v="21"/>
    <s v="Small"/>
    <x v="0"/>
    <n v="47.781846999999999"/>
    <n v="14.386835"/>
    <s v="Available"/>
    <x v="1"/>
    <d v="2024-03-24T00:00:00"/>
    <s v="March"/>
    <s v="Bob Bobson"/>
    <s v="OK"/>
  </r>
  <r>
    <n v="366"/>
    <x v="2"/>
    <x v="5"/>
    <n v="0.27200000000000002"/>
    <x v="2"/>
    <n v="20"/>
    <s v="Small"/>
    <x v="2"/>
    <n v="47.781295999999998"/>
    <n v="14.383799"/>
    <s v="Available"/>
    <x v="1"/>
    <d v="2024-03-24T00:00:00"/>
    <s v="March"/>
    <s v="Bob Bobson"/>
    <s v="OK"/>
  </r>
  <r>
    <n v="367"/>
    <x v="2"/>
    <x v="5"/>
    <n v="0.34"/>
    <x v="2"/>
    <n v="20"/>
    <s v="Small"/>
    <x v="0"/>
    <n v="47.781537999999998"/>
    <n v="14.384561"/>
    <s v="Available"/>
    <x v="1"/>
    <d v="2024-03-24T00:00:00"/>
    <s v="March"/>
    <s v="Bob Bobson"/>
    <s v="OK"/>
  </r>
  <r>
    <n v="368"/>
    <x v="2"/>
    <x v="5"/>
    <n v="0.33200000000000002"/>
    <x v="2"/>
    <n v="18"/>
    <s v="Small"/>
    <x v="2"/>
    <n v="47.781345000000002"/>
    <n v="14.382936000000001"/>
    <s v="Available"/>
    <x v="1"/>
    <d v="2024-03-24T00:00:00"/>
    <s v="March"/>
    <s v="Bob Bobson"/>
    <s v="OK"/>
  </r>
  <r>
    <n v="369"/>
    <x v="2"/>
    <x v="2"/>
    <n v="0.28599999999999998"/>
    <x v="2"/>
    <n v="19"/>
    <s v="Small"/>
    <x v="2"/>
    <n v="52.582658000000002"/>
    <n v="13.148057"/>
    <s v="Available"/>
    <x v="1"/>
    <d v="2024-03-24T00:00:00"/>
    <s v="March"/>
    <s v="Bob Bobson"/>
    <s v="OK"/>
  </r>
  <r>
    <n v="370"/>
    <x v="3"/>
    <x v="4"/>
    <n v="0.8"/>
    <x v="2"/>
    <n v="18"/>
    <s v="Small"/>
    <x v="0"/>
    <n v="49.938687999999999"/>
    <n v="14.179603"/>
    <s v="Available"/>
    <x v="1"/>
    <d v="2024-03-24T00:00:00"/>
    <s v="March"/>
    <s v="John Johnson"/>
    <s v="OK"/>
  </r>
  <r>
    <n v="371"/>
    <x v="2"/>
    <x v="4"/>
    <n v="0.33600000000000002"/>
    <x v="2"/>
    <n v="22"/>
    <s v="Small"/>
    <x v="2"/>
    <n v="49.939211999999998"/>
    <n v="14.180839000000001"/>
    <s v="Available"/>
    <x v="1"/>
    <d v="2024-03-24T00:00:00"/>
    <s v="March"/>
    <s v="John Johnson"/>
    <s v="OK"/>
  </r>
  <r>
    <n v="372"/>
    <x v="2"/>
    <x v="3"/>
    <n v="0.2"/>
    <x v="2"/>
    <n v="14"/>
    <s v="Small"/>
    <x v="2"/>
    <n v="48.186610999999999"/>
    <n v="17.090271000000001"/>
    <s v="Available"/>
    <x v="1"/>
    <d v="2024-03-24T00:00:00"/>
    <s v="March"/>
    <s v="John Johnson"/>
    <s v="OK"/>
  </r>
  <r>
    <n v="373"/>
    <x v="3"/>
    <x v="0"/>
    <n v="0.9"/>
    <x v="2"/>
    <n v="22"/>
    <s v="Small"/>
    <x v="2"/>
    <n v="52.214494000000002"/>
    <n v="21.033154"/>
    <s v="Available"/>
    <x v="1"/>
    <d v="2024-03-25T00:00:00"/>
    <s v="March"/>
    <s v="Anne Anthony"/>
    <s v="OK"/>
  </r>
  <r>
    <n v="374"/>
    <x v="3"/>
    <x v="0"/>
    <n v="1"/>
    <x v="2"/>
    <n v="21"/>
    <s v="Small"/>
    <x v="0"/>
    <n v="52.214418999999999"/>
    <n v="21.033441"/>
    <s v="Available"/>
    <x v="1"/>
    <d v="2024-03-25T00:00:00"/>
    <s v="March"/>
    <s v="Anne Anthony"/>
    <s v="OK"/>
  </r>
  <r>
    <n v="375"/>
    <x v="3"/>
    <x v="4"/>
    <n v="0.4"/>
    <x v="2"/>
    <n v="12"/>
    <s v="Small"/>
    <x v="2"/>
    <n v="49.937893000000003"/>
    <n v="14.18083"/>
    <s v="Available"/>
    <x v="1"/>
    <d v="2024-03-25T00:00:00"/>
    <s v="March"/>
    <s v="John Johnson"/>
    <s v="OK"/>
  </r>
  <r>
    <n v="376"/>
    <x v="2"/>
    <x v="4"/>
    <n v="0.33600000000000002"/>
    <x v="2"/>
    <n v="23"/>
    <s v="Small"/>
    <x v="0"/>
    <n v="49.939261999999999"/>
    <n v="14.179613"/>
    <s v="Available"/>
    <x v="1"/>
    <d v="2024-03-25T00:00:00"/>
    <s v="March"/>
    <s v="John Johnson"/>
    <s v="OK"/>
  </r>
  <r>
    <n v="377"/>
    <x v="2"/>
    <x v="3"/>
    <n v="0.254"/>
    <x v="2"/>
    <n v="18"/>
    <s v="Small"/>
    <x v="0"/>
    <n v="48.239854000000001"/>
    <n v="17.086693"/>
    <s v="Available"/>
    <x v="1"/>
    <d v="2024-03-25T00:00:00"/>
    <s v="March"/>
    <s v="John Johnson"/>
    <s v="OK"/>
  </r>
  <r>
    <n v="378"/>
    <x v="2"/>
    <x v="3"/>
    <n v="0.29399999999999998"/>
    <x v="2"/>
    <n v="23"/>
    <s v="Small"/>
    <x v="0"/>
    <n v="48.226680000000002"/>
    <n v="17.081529"/>
    <s v="Available"/>
    <x v="1"/>
    <d v="2024-03-25T00:00:00"/>
    <s v="March"/>
    <s v="John Johnson"/>
    <s v="OK"/>
  </r>
  <r>
    <n v="379"/>
    <x v="2"/>
    <x v="3"/>
    <n v="0.26500000000000001"/>
    <x v="2"/>
    <n v="22"/>
    <s v="Small"/>
    <x v="2"/>
    <n v="48.238619999999997"/>
    <n v="17.074393000000001"/>
    <s v="Available"/>
    <x v="1"/>
    <d v="2024-03-25T00:00:00"/>
    <s v="March"/>
    <s v="John Johnson"/>
    <s v="OK"/>
  </r>
  <r>
    <n v="380"/>
    <x v="0"/>
    <x v="0"/>
    <n v="823"/>
    <x v="0"/>
    <n v="305"/>
    <s v="Very Large"/>
    <x v="0"/>
    <n v="52.824289999999998"/>
    <n v="23.813465000000001"/>
    <s v="Available"/>
    <x v="1"/>
    <d v="2024-03-26T00:00:00"/>
    <s v="March"/>
    <s v="Anne Anthony"/>
    <s v="OK"/>
  </r>
  <r>
    <n v="381"/>
    <x v="0"/>
    <x v="0"/>
    <n v="594"/>
    <x v="0"/>
    <n v="243"/>
    <s v="Very Large"/>
    <x v="0"/>
    <n v="52.825553999999997"/>
    <n v="23.812594000000001"/>
    <s v="Available"/>
    <x v="1"/>
    <d v="2024-03-26T00:00:00"/>
    <s v="March"/>
    <s v="Anne Anthony"/>
    <s v="OK"/>
  </r>
  <r>
    <n v="382"/>
    <x v="2"/>
    <x v="0"/>
    <n v="0.31"/>
    <x v="2"/>
    <n v="24"/>
    <s v="Small"/>
    <x v="0"/>
    <n v="50.041235"/>
    <n v="19.951284000000001"/>
    <s v="Available"/>
    <x v="1"/>
    <d v="2024-03-26T00:00:00"/>
    <s v="March"/>
    <s v="Anne Anthony"/>
    <s v="OK"/>
  </r>
  <r>
    <n v="383"/>
    <x v="2"/>
    <x v="1"/>
    <n v="0.297366504854368"/>
    <x v="2"/>
    <n v="20"/>
    <s v="Small"/>
    <x v="2"/>
    <n v="47.508617999999998"/>
    <n v="18.944915000000002"/>
    <s v="Available"/>
    <x v="1"/>
    <d v="2024-03-26T00:00:00"/>
    <s v="March"/>
    <s v="Anne Anthony"/>
    <s v="OK"/>
  </r>
  <r>
    <n v="384"/>
    <x v="3"/>
    <x v="4"/>
    <n v="0.7"/>
    <x v="2"/>
    <n v="16"/>
    <s v="Small"/>
    <x v="0"/>
    <n v="49.939149999999998"/>
    <n v="14.179387999999999"/>
    <s v="Available"/>
    <x v="1"/>
    <d v="2024-03-26T00:00:00"/>
    <s v="March"/>
    <s v="John Johnson"/>
    <s v="OK"/>
  </r>
  <r>
    <n v="385"/>
    <x v="3"/>
    <x v="4"/>
    <n v="0.6"/>
    <x v="2"/>
    <n v="17"/>
    <s v="Small"/>
    <x v="2"/>
    <n v="49.938346000000003"/>
    <n v="14.18024"/>
    <s v="Available"/>
    <x v="1"/>
    <d v="2024-03-26T00:00:00"/>
    <s v="March"/>
    <s v="John Johnson"/>
    <s v="OK"/>
  </r>
  <r>
    <n v="386"/>
    <x v="3"/>
    <x v="0"/>
    <n v="1.1000000000000001"/>
    <x v="2"/>
    <n v="20"/>
    <s v="Small"/>
    <x v="2"/>
    <n v="52.214765999999997"/>
    <n v="21.030532000000001"/>
    <s v="Available"/>
    <x v="1"/>
    <d v="2024-03-27T00:00:00"/>
    <s v="March"/>
    <s v="Anne Anthony"/>
    <s v="OK"/>
  </r>
  <r>
    <n v="387"/>
    <x v="2"/>
    <x v="0"/>
    <n v="0.33600000000000002"/>
    <x v="2"/>
    <n v="19"/>
    <s v="Small"/>
    <x v="0"/>
    <n v="50.041488999999999"/>
    <n v="19.950768"/>
    <s v="Available"/>
    <x v="3"/>
    <d v="2024-03-27T00:00:00"/>
    <s v="March"/>
    <s v="Anne Anthony"/>
    <s v="OK"/>
  </r>
  <r>
    <n v="388"/>
    <x v="3"/>
    <x v="2"/>
    <n v="0.7"/>
    <x v="2"/>
    <n v="23"/>
    <s v="Small"/>
    <x v="2"/>
    <n v="52.587532000000003"/>
    <n v="13.152361000000001"/>
    <s v="Available"/>
    <x v="1"/>
    <d v="2024-03-27T00:00:00"/>
    <s v="March"/>
    <s v="Bob Bobson"/>
    <s v="OK"/>
  </r>
  <r>
    <n v="389"/>
    <x v="3"/>
    <x v="2"/>
    <n v="0.7"/>
    <x v="2"/>
    <n v="17"/>
    <s v="Small"/>
    <x v="0"/>
    <n v="48.161583999999998"/>
    <n v="11.494937999999999"/>
    <s v="Available"/>
    <x v="1"/>
    <d v="2024-03-27T00:00:00"/>
    <s v="March"/>
    <s v="Bob Bobson"/>
    <s v="OK"/>
  </r>
  <r>
    <n v="390"/>
    <x v="3"/>
    <x v="2"/>
    <n v="0.9"/>
    <x v="2"/>
    <n v="18"/>
    <s v="Small"/>
    <x v="2"/>
    <n v="48.160459000000003"/>
    <n v="11.493142000000001"/>
    <s v="Available"/>
    <x v="1"/>
    <d v="2024-03-27T00:00:00"/>
    <s v="March"/>
    <s v="Bob Bobson"/>
    <s v="OK"/>
  </r>
  <r>
    <n v="391"/>
    <x v="3"/>
    <x v="2"/>
    <n v="0.5"/>
    <x v="2"/>
    <n v="20"/>
    <s v="Small"/>
    <x v="0"/>
    <n v="48.160834000000001"/>
    <n v="11.489874"/>
    <s v="Available"/>
    <x v="1"/>
    <d v="2024-03-27T00:00:00"/>
    <s v="March"/>
    <s v="Bob Bobson"/>
    <s v="OK"/>
  </r>
  <r>
    <n v="392"/>
    <x v="3"/>
    <x v="4"/>
    <n v="0.5"/>
    <x v="2"/>
    <n v="16"/>
    <s v="Small"/>
    <x v="0"/>
    <n v="49.938845000000001"/>
    <n v="14.182245999999999"/>
    <s v="Available"/>
    <x v="1"/>
    <d v="2024-03-27T00:00:00"/>
    <s v="March"/>
    <s v="John Johnson"/>
    <s v="OK"/>
  </r>
  <r>
    <n v="393"/>
    <x v="3"/>
    <x v="4"/>
    <n v="0.8"/>
    <x v="2"/>
    <n v="17"/>
    <s v="Small"/>
    <x v="2"/>
    <n v="49.938958999999997"/>
    <n v="14.180078"/>
    <s v="Available"/>
    <x v="1"/>
    <d v="2024-03-27T00:00:00"/>
    <s v="March"/>
    <s v="John Johnson"/>
    <s v="OK"/>
  </r>
  <r>
    <n v="394"/>
    <x v="2"/>
    <x v="4"/>
    <n v="0.27700000000000002"/>
    <x v="2"/>
    <n v="22"/>
    <s v="Small"/>
    <x v="0"/>
    <n v="49.939096999999997"/>
    <n v="14.179435"/>
    <s v="Available"/>
    <x v="1"/>
    <d v="2024-03-27T00:00:00"/>
    <s v="March"/>
    <s v="John Johnson"/>
    <s v="OK"/>
  </r>
  <r>
    <n v="395"/>
    <x v="2"/>
    <x v="3"/>
    <n v="0.32100000000000001"/>
    <x v="2"/>
    <n v="18"/>
    <s v="Small"/>
    <x v="2"/>
    <n v="48.226708000000002"/>
    <n v="17.087852999999999"/>
    <s v="Available"/>
    <x v="1"/>
    <d v="2024-03-27T00:00:00"/>
    <s v="March"/>
    <s v="John Johnson"/>
    <s v="OK"/>
  </r>
  <r>
    <n v="396"/>
    <x v="2"/>
    <x v="4"/>
    <n v="0.27100000000000002"/>
    <x v="2"/>
    <n v="19"/>
    <s v="Small"/>
    <x v="2"/>
    <n v="49.938523000000004"/>
    <n v="14.18244"/>
    <s v="Available"/>
    <x v="1"/>
    <d v="2024-03-27T00:00:00"/>
    <s v="March"/>
    <s v="John Johnson"/>
    <s v="OK"/>
  </r>
  <r>
    <n v="397"/>
    <x v="0"/>
    <x v="0"/>
    <n v="510"/>
    <x v="0"/>
    <n v="222"/>
    <s v="Very Large"/>
    <x v="2"/>
    <n v="52.807537000000004"/>
    <n v="23.700908999999999"/>
    <s v="Available"/>
    <x v="1"/>
    <d v="2024-03-28T00:00:00"/>
    <s v="March"/>
    <s v="Anne Anthony"/>
    <s v="OK"/>
  </r>
  <r>
    <n v="398"/>
    <x v="2"/>
    <x v="0"/>
    <n v="0.32800000000000001"/>
    <x v="2"/>
    <n v="23"/>
    <s v="Small"/>
    <x v="2"/>
    <n v="50.041504000000003"/>
    <n v="19.950218"/>
    <s v="Available"/>
    <x v="1"/>
    <d v="2024-03-28T00:00:00"/>
    <s v="March"/>
    <s v="Anne Anthony"/>
    <s v="OK"/>
  </r>
  <r>
    <n v="399"/>
    <x v="2"/>
    <x v="0"/>
    <n v="0.27800000000000002"/>
    <x v="2"/>
    <n v="23"/>
    <s v="Small"/>
    <x v="2"/>
    <n v="50.041119000000002"/>
    <n v="19.949729999999999"/>
    <s v="Available"/>
    <x v="1"/>
    <d v="2024-03-28T00:00:00"/>
    <s v="March"/>
    <s v="Anne Anthony"/>
    <s v="OK"/>
  </r>
  <r>
    <n v="400"/>
    <x v="3"/>
    <x v="4"/>
    <n v="0.6"/>
    <x v="2"/>
    <n v="18"/>
    <s v="Small"/>
    <x v="2"/>
    <n v="49.937804999999997"/>
    <n v="14.179716000000001"/>
    <s v="Available"/>
    <x v="1"/>
    <d v="2024-03-28T00:00:00"/>
    <s v="March"/>
    <s v="John Johnson"/>
    <s v="OK"/>
  </r>
  <r>
    <n v="401"/>
    <x v="3"/>
    <x v="4"/>
    <n v="0.7"/>
    <x v="2"/>
    <n v="15"/>
    <s v="Small"/>
    <x v="2"/>
    <n v="49.939329999999998"/>
    <n v="14.177877000000001"/>
    <s v="Available"/>
    <x v="1"/>
    <d v="2024-03-28T00:00:00"/>
    <s v="March"/>
    <s v="John Johnson"/>
    <s v="OK"/>
  </r>
  <r>
    <n v="402"/>
    <x v="2"/>
    <x v="1"/>
    <n v="0.27300000000000002"/>
    <x v="2"/>
    <n v="23"/>
    <s v="Small"/>
    <x v="2"/>
    <n v="47.507156999999999"/>
    <n v="18.940379"/>
    <s v="Available"/>
    <x v="1"/>
    <d v="2024-03-29T00:00:00"/>
    <s v="March"/>
    <s v="Anne Anthony"/>
    <s v="OK"/>
  </r>
  <r>
    <n v="403"/>
    <x v="2"/>
    <x v="5"/>
    <n v="0.33600000000000002"/>
    <x v="2"/>
    <n v="20"/>
    <s v="Small"/>
    <x v="2"/>
    <n v="47.780752"/>
    <n v="14.383452"/>
    <s v="Available"/>
    <x v="7"/>
    <d v="2024-03-29T00:00:00"/>
    <s v="March"/>
    <s v="Bob Bobson"/>
    <s v="OK"/>
  </r>
  <r>
    <n v="404"/>
    <x v="2"/>
    <x v="5"/>
    <n v="0.28999999999999998"/>
    <x v="2"/>
    <n v="19"/>
    <s v="Small"/>
    <x v="0"/>
    <n v="47.781078000000001"/>
    <n v="14.384558999999999"/>
    <s v="Available"/>
    <x v="1"/>
    <d v="2024-03-29T00:00:00"/>
    <s v="March"/>
    <s v="Bob Bobson"/>
    <s v="OK"/>
  </r>
  <r>
    <n v="405"/>
    <x v="2"/>
    <x v="5"/>
    <n v="0.33700000000000002"/>
    <x v="2"/>
    <n v="22"/>
    <s v="Small"/>
    <x v="0"/>
    <n v="47.781087999999997"/>
    <n v="14.385534"/>
    <s v="Available"/>
    <x v="1"/>
    <d v="2024-03-29T00:00:00"/>
    <s v="March"/>
    <s v="Bob Bobson"/>
    <s v="OK"/>
  </r>
  <r>
    <n v="406"/>
    <x v="3"/>
    <x v="3"/>
    <n v="0.7"/>
    <x v="2"/>
    <n v="16"/>
    <s v="Small"/>
    <x v="0"/>
    <n v="48.409137999999999"/>
    <n v="18.863576999999999"/>
    <s v="Available"/>
    <x v="1"/>
    <d v="2024-03-29T00:00:00"/>
    <s v="March"/>
    <s v="John Johnson"/>
    <s v="OK"/>
  </r>
  <r>
    <n v="407"/>
    <x v="1"/>
    <x v="3"/>
    <n v="16"/>
    <x v="2"/>
    <n v="62"/>
    <s v="Medium"/>
    <x v="2"/>
    <n v="48.409447999999998"/>
    <n v="18.845590999999999"/>
    <s v="Available"/>
    <x v="1"/>
    <d v="2024-03-29T00:00:00"/>
    <s v="March"/>
    <s v="John Johnson"/>
    <s v="OK"/>
  </r>
  <r>
    <n v="408"/>
    <x v="2"/>
    <x v="0"/>
    <n v="0.28899999999999998"/>
    <x v="2"/>
    <n v="24"/>
    <s v="Small"/>
    <x v="0"/>
    <n v="50.041381999999999"/>
    <n v="19.949403"/>
    <s v="Available"/>
    <x v="1"/>
    <d v="2024-03-30T00:00:00"/>
    <s v="March"/>
    <s v="Anne Anthony"/>
    <s v="OK"/>
  </r>
  <r>
    <n v="409"/>
    <x v="3"/>
    <x v="2"/>
    <n v="1.1000000000000001"/>
    <x v="2"/>
    <n v="25"/>
    <s v="Small"/>
    <x v="0"/>
    <n v="48.160772999999999"/>
    <n v="11.493679999999999"/>
    <s v="Available"/>
    <x v="1"/>
    <d v="2024-03-30T00:00:00"/>
    <s v="March"/>
    <s v="Bob Bobson"/>
    <s v="OK"/>
  </r>
  <r>
    <n v="410"/>
    <x v="3"/>
    <x v="2"/>
    <n v="0.6"/>
    <x v="2"/>
    <n v="15"/>
    <s v="Small"/>
    <x v="2"/>
    <n v="48.160812999999997"/>
    <n v="11.492539000000001"/>
    <s v="Available"/>
    <x v="1"/>
    <d v="2024-03-30T00:00:00"/>
    <s v="March"/>
    <s v="Bob Bobson"/>
    <s v="OK"/>
  </r>
  <r>
    <n v="411"/>
    <x v="3"/>
    <x v="2"/>
    <n v="0.5"/>
    <x v="2"/>
    <n v="20"/>
    <s v="Small"/>
    <x v="2"/>
    <n v="48.161605000000002"/>
    <n v="11.491149999999999"/>
    <s v="Available"/>
    <x v="1"/>
    <d v="2024-03-30T00:00:00"/>
    <s v="March"/>
    <s v="Bob Bobson"/>
    <s v="OK"/>
  </r>
  <r>
    <n v="412"/>
    <x v="3"/>
    <x v="2"/>
    <n v="0.7"/>
    <x v="2"/>
    <n v="20"/>
    <s v="Small"/>
    <x v="0"/>
    <n v="48.162593000000001"/>
    <n v="11.491872000000001"/>
    <s v="Available"/>
    <x v="1"/>
    <d v="2024-03-30T00:00:00"/>
    <s v="March"/>
    <s v="Bob Bobson"/>
    <s v="OK"/>
  </r>
  <r>
    <n v="413"/>
    <x v="3"/>
    <x v="2"/>
    <n v="0.6"/>
    <x v="2"/>
    <n v="15"/>
    <s v="Small"/>
    <x v="2"/>
    <n v="48.16142"/>
    <n v="11.495056"/>
    <s v="Available"/>
    <x v="1"/>
    <d v="2024-03-30T00:00:00"/>
    <s v="March"/>
    <s v="Bob Bobson"/>
    <s v="OK"/>
  </r>
  <r>
    <n v="414"/>
    <x v="3"/>
    <x v="2"/>
    <n v="0.5"/>
    <x v="2"/>
    <n v="16"/>
    <s v="Small"/>
    <x v="2"/>
    <n v="48.162548999999999"/>
    <n v="11.492991"/>
    <s v="Available"/>
    <x v="1"/>
    <d v="2024-03-30T00:00:00"/>
    <s v="March"/>
    <s v="Bob Bobson"/>
    <s v="OK"/>
  </r>
  <r>
    <n v="415"/>
    <x v="3"/>
    <x v="2"/>
    <n v="0.9"/>
    <x v="2"/>
    <n v="19"/>
    <s v="Small"/>
    <x v="0"/>
    <n v="48.161645999999998"/>
    <n v="11.493511"/>
    <s v="Available"/>
    <x v="1"/>
    <d v="2024-03-30T00:00:00"/>
    <s v="March"/>
    <s v="Bob Bobson"/>
    <s v="OK"/>
  </r>
  <r>
    <n v="416"/>
    <x v="1"/>
    <x v="3"/>
    <n v="21"/>
    <x v="1"/>
    <n v="85"/>
    <s v="Medium"/>
    <x v="0"/>
    <n v="48.405213000000003"/>
    <n v="18.84085"/>
    <s v="Available"/>
    <x v="1"/>
    <d v="2024-03-30T00:00:00"/>
    <s v="March"/>
    <s v="John Johnson"/>
    <s v="OK"/>
  </r>
  <r>
    <n v="417"/>
    <x v="2"/>
    <x v="4"/>
    <n v="0.28799999999999998"/>
    <x v="2"/>
    <n v="18"/>
    <s v="Small"/>
    <x v="0"/>
    <n v="49.939"/>
    <n v="14.182238999999999"/>
    <s v="Available"/>
    <x v="1"/>
    <d v="2024-03-30T00:00:00"/>
    <s v="March"/>
    <s v="John Johnson"/>
    <s v="OK"/>
  </r>
  <r>
    <n v="418"/>
    <x v="2"/>
    <x v="3"/>
    <n v="0.28699999999999998"/>
    <x v="2"/>
    <n v="21"/>
    <s v="Small"/>
    <x v="0"/>
    <n v="48.224896999999999"/>
    <n v="17.085978999999998"/>
    <s v="Available"/>
    <x v="1"/>
    <d v="2024-03-30T00:00:00"/>
    <s v="March"/>
    <s v="John Johnson"/>
    <s v="OK"/>
  </r>
  <r>
    <n v="419"/>
    <x v="2"/>
    <x v="3"/>
    <n v="0.28599999999999998"/>
    <x v="2"/>
    <n v="18"/>
    <s v="Small"/>
    <x v="0"/>
    <n v="48.228960999999998"/>
    <n v="17.076478000000002"/>
    <s v="Available"/>
    <x v="1"/>
    <d v="2024-03-30T00:00:00"/>
    <s v="March"/>
    <s v="John Johnson"/>
    <s v="OK"/>
  </r>
  <r>
    <n v="420"/>
    <x v="0"/>
    <x v="0"/>
    <n v="970"/>
    <x v="0"/>
    <n v="307"/>
    <s v="Very Large"/>
    <x v="0"/>
    <n v="52.805402000000001"/>
    <n v="23.691244000000001"/>
    <s v="Available"/>
    <x v="1"/>
    <d v="2024-03-31T00:00:00"/>
    <s v="March"/>
    <s v="Anne Anthony"/>
    <s v="OK"/>
  </r>
  <r>
    <n v="421"/>
    <x v="2"/>
    <x v="0"/>
    <n v="0.32300000000000001"/>
    <x v="2"/>
    <n v="20"/>
    <s v="Small"/>
    <x v="2"/>
    <n v="50.041365999999996"/>
    <n v="19.949444"/>
    <s v="Available"/>
    <x v="1"/>
    <d v="2024-03-31T00:00:00"/>
    <s v="March"/>
    <s v="Anne Anthony"/>
    <s v="OK"/>
  </r>
  <r>
    <n v="422"/>
    <x v="2"/>
    <x v="1"/>
    <n v="0.297366504854368"/>
    <x v="2"/>
    <n v="19"/>
    <s v="Small"/>
    <x v="2"/>
    <n v="47.509537999999999"/>
    <n v="18.945968000000001"/>
    <s v="Available"/>
    <x v="1"/>
    <d v="2024-03-31T00:00:00"/>
    <s v="March"/>
    <s v="Anne Anthony"/>
    <s v="OK"/>
  </r>
  <r>
    <n v="423"/>
    <x v="3"/>
    <x v="3"/>
    <n v="0.9"/>
    <x v="2"/>
    <n v="19"/>
    <s v="Small"/>
    <x v="2"/>
    <n v="48.407463999999997"/>
    <n v="18.87406"/>
    <s v="Available"/>
    <x v="1"/>
    <d v="2024-03-31T00:00:00"/>
    <s v="March"/>
    <s v="John Johnson"/>
    <s v="OK"/>
  </r>
  <r>
    <n v="424"/>
    <x v="1"/>
    <x v="3"/>
    <n v="20"/>
    <x v="1"/>
    <n v="78"/>
    <s v="Medium"/>
    <x v="2"/>
    <n v="48.409790000000001"/>
    <n v="18.870341"/>
    <s v="Available"/>
    <x v="1"/>
    <d v="2024-03-31T00:00:00"/>
    <s v="March"/>
    <s v="John Johnson"/>
    <s v="OK"/>
  </r>
  <r>
    <n v="425"/>
    <x v="0"/>
    <x v="0"/>
    <n v="459"/>
    <x v="0"/>
    <n v="212"/>
    <s v="Very Large"/>
    <x v="2"/>
    <n v="52.807403000000001"/>
    <n v="23.683043999999999"/>
    <s v="Available"/>
    <x v="1"/>
    <d v="2024-04-01T00:00:00"/>
    <s v="April"/>
    <s v="Anne Anthony"/>
    <s v="OK"/>
  </r>
  <r>
    <n v="426"/>
    <x v="0"/>
    <x v="0"/>
    <n v="705"/>
    <x v="0"/>
    <n v="280"/>
    <s v="Very Large"/>
    <x v="2"/>
    <n v="52.803733000000001"/>
    <n v="23.686928000000002"/>
    <s v="Available"/>
    <x v="1"/>
    <d v="2024-04-01T00:00:00"/>
    <s v="April"/>
    <s v="Anne Anthony"/>
    <s v="OK"/>
  </r>
  <r>
    <n v="427"/>
    <x v="2"/>
    <x v="0"/>
    <n v="0.32300000000000001"/>
    <x v="2"/>
    <n v="19"/>
    <s v="Small"/>
    <x v="2"/>
    <n v="50.041803999999999"/>
    <n v="19.951360999999999"/>
    <s v="Available"/>
    <x v="1"/>
    <d v="2024-04-01T00:00:00"/>
    <s v="April"/>
    <s v="Anne Anthony"/>
    <s v="OK"/>
  </r>
  <r>
    <n v="428"/>
    <x v="2"/>
    <x v="1"/>
    <n v="0.33700000000000002"/>
    <x v="2"/>
    <n v="18"/>
    <s v="Small"/>
    <x v="2"/>
    <n v="47.511558000000001"/>
    <n v="18.942454000000001"/>
    <s v="Available"/>
    <x v="1"/>
    <d v="2024-04-01T00:00:00"/>
    <s v="April"/>
    <s v="Anne Anthony"/>
    <s v="OK"/>
  </r>
  <r>
    <n v="429"/>
    <x v="3"/>
    <x v="3"/>
    <n v="1.1000000000000001"/>
    <x v="2"/>
    <n v="22"/>
    <s v="Small"/>
    <x v="0"/>
    <n v="48.409754"/>
    <n v="18.870477000000001"/>
    <s v="Available"/>
    <x v="1"/>
    <d v="2024-04-01T00:00:00"/>
    <s v="April"/>
    <s v="John Johnson"/>
    <s v="OK"/>
  </r>
  <r>
    <n v="430"/>
    <x v="1"/>
    <x v="4"/>
    <n v="26"/>
    <x v="1"/>
    <n v="81"/>
    <s v="Medium"/>
    <x v="2"/>
    <n v="50.884011999999998"/>
    <n v="14.370554"/>
    <s v="Available"/>
    <x v="1"/>
    <d v="2024-04-01T00:00:00"/>
    <s v="April"/>
    <s v="John Johnson"/>
    <s v="OK"/>
  </r>
  <r>
    <n v="431"/>
    <x v="2"/>
    <x v="4"/>
    <n v="0.28299999999999997"/>
    <x v="2"/>
    <n v="22"/>
    <s v="Small"/>
    <x v="2"/>
    <n v="49.939191000000001"/>
    <n v="14.180256"/>
    <s v="Available"/>
    <x v="1"/>
    <d v="2024-04-01T00:00:00"/>
    <s v="April"/>
    <s v="John Johnson"/>
    <s v="OK"/>
  </r>
  <r>
    <n v="432"/>
    <x v="2"/>
    <x v="3"/>
    <n v="0.26"/>
    <x v="2"/>
    <n v="22"/>
    <s v="Small"/>
    <x v="2"/>
    <n v="48.231229999999996"/>
    <n v="17.090253000000001"/>
    <s v="Available"/>
    <x v="1"/>
    <d v="2024-04-01T00:00:00"/>
    <s v="April"/>
    <s v="John Johnson"/>
    <s v="OK"/>
  </r>
  <r>
    <n v="433"/>
    <x v="3"/>
    <x v="1"/>
    <n v="0.6"/>
    <x v="2"/>
    <n v="20"/>
    <s v="Small"/>
    <x v="2"/>
    <n v="48.504424999999998"/>
    <n v="20.548743999999999"/>
    <s v="Available"/>
    <x v="1"/>
    <d v="2024-04-02T00:00:00"/>
    <s v="April"/>
    <s v="Anne Anthony"/>
    <s v="OK"/>
  </r>
  <r>
    <n v="434"/>
    <x v="1"/>
    <x v="0"/>
    <n v="22"/>
    <x v="1"/>
    <n v="101"/>
    <s v="Large"/>
    <x v="0"/>
    <n v="52.824598999999999"/>
    <n v="23.816842000000001"/>
    <s v="Available"/>
    <x v="1"/>
    <d v="2024-04-02T00:00:00"/>
    <s v="April"/>
    <s v="Anne Anthony"/>
    <s v="OK"/>
  </r>
  <r>
    <n v="435"/>
    <x v="2"/>
    <x v="0"/>
    <n v="0.29399999999999998"/>
    <x v="2"/>
    <n v="19"/>
    <s v="Small"/>
    <x v="0"/>
    <n v="50.041131"/>
    <n v="19.949542999999998"/>
    <s v="Available"/>
    <x v="1"/>
    <d v="2024-04-02T00:00:00"/>
    <s v="April"/>
    <s v="Anne Anthony"/>
    <s v="OK"/>
  </r>
  <r>
    <n v="436"/>
    <x v="2"/>
    <x v="0"/>
    <n v="0.297366504854368"/>
    <x v="2"/>
    <n v="20.418848167539199"/>
    <s v="Small"/>
    <x v="0"/>
    <n v="50.041552000000003"/>
    <n v="19.949984000000001"/>
    <s v="Available"/>
    <x v="1"/>
    <d v="2024-04-02T00:00:00"/>
    <s v="April"/>
    <s v="Anne Anthony"/>
    <s v="OK"/>
  </r>
  <r>
    <n v="437"/>
    <x v="2"/>
    <x v="0"/>
    <n v="0.312"/>
    <x v="2"/>
    <n v="23"/>
    <s v="Small"/>
    <x v="2"/>
    <n v="50.041944999999998"/>
    <n v="19.94932"/>
    <s v="Available"/>
    <x v="4"/>
    <d v="2024-04-02T00:00:00"/>
    <s v="April"/>
    <s v="Anne Anthony"/>
    <s v="OK"/>
  </r>
  <r>
    <n v="438"/>
    <x v="2"/>
    <x v="0"/>
    <n v="0.28999999999999998"/>
    <x v="2"/>
    <n v="24"/>
    <s v="Small"/>
    <x v="0"/>
    <n v="50.041924999999999"/>
    <n v="19.950894000000002"/>
    <s v="Available"/>
    <x v="1"/>
    <d v="2024-04-02T00:00:00"/>
    <s v="April"/>
    <s v="Anne Anthony"/>
    <s v="OK"/>
  </r>
  <r>
    <n v="439"/>
    <x v="2"/>
    <x v="1"/>
    <n v="0.25800000000000001"/>
    <x v="2"/>
    <n v="21"/>
    <s v="Small"/>
    <x v="2"/>
    <n v="47.511581999999997"/>
    <n v="18.942340999999999"/>
    <s v="Available"/>
    <x v="1"/>
    <d v="2024-04-02T00:00:00"/>
    <s v="April"/>
    <s v="Anne Anthony"/>
    <s v="OK"/>
  </r>
  <r>
    <n v="440"/>
    <x v="3"/>
    <x v="5"/>
    <n v="0.8"/>
    <x v="2"/>
    <n v="15"/>
    <s v="Small"/>
    <x v="2"/>
    <n v="47.319091"/>
    <n v="11.188058"/>
    <s v="Available"/>
    <x v="1"/>
    <d v="2024-04-02T00:00:00"/>
    <s v="April"/>
    <s v="Bob Bobson"/>
    <s v="OK"/>
  </r>
  <r>
    <n v="441"/>
    <x v="3"/>
    <x v="2"/>
    <n v="0.8"/>
    <x v="2"/>
    <n v="18"/>
    <s v="Small"/>
    <x v="0"/>
    <n v="48.161892000000002"/>
    <n v="11.493888"/>
    <s v="Available"/>
    <x v="1"/>
    <d v="2024-04-02T00:00:00"/>
    <s v="April"/>
    <s v="Bob Bobson"/>
    <s v="OK"/>
  </r>
  <r>
    <n v="442"/>
    <x v="3"/>
    <x v="2"/>
    <n v="0.6"/>
    <x v="2"/>
    <n v="15"/>
    <s v="Small"/>
    <x v="2"/>
    <n v="48.161217999999998"/>
    <n v="11.494676999999999"/>
    <s v="Available"/>
    <x v="1"/>
    <d v="2024-04-02T00:00:00"/>
    <s v="April"/>
    <s v="Bob Bobson"/>
    <s v="OK"/>
  </r>
  <r>
    <n v="443"/>
    <x v="3"/>
    <x v="2"/>
    <n v="0.8"/>
    <x v="2"/>
    <n v="23"/>
    <s v="Small"/>
    <x v="0"/>
    <n v="48.161451999999997"/>
    <n v="11.495239"/>
    <s v="Available"/>
    <x v="1"/>
    <d v="2024-04-02T00:00:00"/>
    <s v="April"/>
    <s v="Bob Bobson"/>
    <s v="OK"/>
  </r>
  <r>
    <n v="444"/>
    <x v="3"/>
    <x v="2"/>
    <n v="0.6"/>
    <x v="2"/>
    <n v="16"/>
    <s v="Small"/>
    <x v="2"/>
    <n v="48.160915000000003"/>
    <n v="11.489927"/>
    <s v="Available"/>
    <x v="1"/>
    <d v="2024-04-02T00:00:00"/>
    <s v="April"/>
    <s v="Bob Bobson"/>
    <s v="OK"/>
  </r>
  <r>
    <n v="445"/>
    <x v="3"/>
    <x v="2"/>
    <n v="0.7"/>
    <x v="2"/>
    <n v="19"/>
    <s v="Small"/>
    <x v="0"/>
    <n v="48.162168999999999"/>
    <n v="11.495473"/>
    <s v="Available"/>
    <x v="1"/>
    <d v="2024-04-02T00:00:00"/>
    <s v="April"/>
    <s v="Bob Bobson"/>
    <s v="OK"/>
  </r>
  <r>
    <n v="446"/>
    <x v="3"/>
    <x v="2"/>
    <n v="1"/>
    <x v="2"/>
    <n v="25"/>
    <s v="Small"/>
    <x v="2"/>
    <n v="49.546289999999999"/>
    <n v="11.085729000000001"/>
    <s v="Available"/>
    <x v="1"/>
    <d v="2024-04-02T00:00:00"/>
    <s v="April"/>
    <s v="Bob Bobson"/>
    <s v="OK"/>
  </r>
  <r>
    <n v="447"/>
    <x v="3"/>
    <x v="2"/>
    <n v="1.1000000000000001"/>
    <x v="2"/>
    <n v="23"/>
    <s v="Small"/>
    <x v="0"/>
    <n v="49.559558000000003"/>
    <n v="11.081149999999999"/>
    <s v="Available"/>
    <x v="1"/>
    <d v="2024-04-02T00:00:00"/>
    <s v="April"/>
    <s v="Bob Bobson"/>
    <s v="OK"/>
  </r>
  <r>
    <n v="448"/>
    <x v="2"/>
    <x v="5"/>
    <n v="0.27300000000000002"/>
    <x v="2"/>
    <n v="19"/>
    <s v="Small"/>
    <x v="2"/>
    <n v="47.781613"/>
    <n v="14.385153000000001"/>
    <s v="Available"/>
    <x v="1"/>
    <d v="2024-04-02T00:00:00"/>
    <s v="April"/>
    <s v="Bob Bobson"/>
    <s v="OK"/>
  </r>
  <r>
    <n v="449"/>
    <x v="2"/>
    <x v="5"/>
    <n v="0.33"/>
    <x v="2"/>
    <n v="18"/>
    <s v="Small"/>
    <x v="2"/>
    <n v="47.781637000000003"/>
    <n v="14.385382999999999"/>
    <s v="Available"/>
    <x v="1"/>
    <d v="2024-04-02T00:00:00"/>
    <s v="April"/>
    <s v="Bob Bobson"/>
    <s v="OK"/>
  </r>
  <r>
    <n v="450"/>
    <x v="2"/>
    <x v="5"/>
    <n v="0.26200000000000001"/>
    <x v="2"/>
    <n v="18"/>
    <s v="Small"/>
    <x v="2"/>
    <n v="47.781838"/>
    <n v="14.382937999999999"/>
    <s v="Available"/>
    <x v="1"/>
    <d v="2024-04-02T00:00:00"/>
    <s v="April"/>
    <s v="Bob Bobson"/>
    <s v="OK"/>
  </r>
  <r>
    <n v="451"/>
    <x v="2"/>
    <x v="5"/>
    <n v="0.31"/>
    <x v="2"/>
    <n v="19"/>
    <s v="Small"/>
    <x v="2"/>
    <n v="47.780925000000003"/>
    <n v="14.383694999999999"/>
    <s v="Available"/>
    <x v="1"/>
    <d v="2024-04-02T00:00:00"/>
    <s v="April"/>
    <s v="Bob Bobson"/>
    <s v="OK"/>
  </r>
  <r>
    <n v="452"/>
    <x v="2"/>
    <x v="5"/>
    <n v="0.33400000000000002"/>
    <x v="2"/>
    <n v="21"/>
    <s v="Small"/>
    <x v="2"/>
    <n v="47.781449000000002"/>
    <n v="14.383421"/>
    <s v="Available"/>
    <x v="1"/>
    <d v="2024-04-02T00:00:00"/>
    <s v="April"/>
    <s v="Bob Bobson"/>
    <s v="OK"/>
  </r>
  <r>
    <n v="453"/>
    <x v="2"/>
    <x v="5"/>
    <n v="0.27"/>
    <x v="2"/>
    <n v="20"/>
    <s v="Small"/>
    <x v="2"/>
    <n v="47.781799999999997"/>
    <n v="14.383699"/>
    <s v="Available"/>
    <x v="1"/>
    <d v="2024-04-02T00:00:00"/>
    <s v="April"/>
    <s v="Bob Bobson"/>
    <s v="OK"/>
  </r>
  <r>
    <n v="454"/>
    <x v="2"/>
    <x v="5"/>
    <n v="0.27700000000000002"/>
    <x v="2"/>
    <n v="18"/>
    <s v="Small"/>
    <x v="0"/>
    <n v="47.781072999999999"/>
    <n v="14.383506000000001"/>
    <s v="Available"/>
    <x v="1"/>
    <d v="2024-04-02T00:00:00"/>
    <s v="April"/>
    <s v="Bob Bobson"/>
    <s v="OK"/>
  </r>
  <r>
    <n v="455"/>
    <x v="2"/>
    <x v="2"/>
    <n v="0.25800000000000001"/>
    <x v="2"/>
    <n v="19"/>
    <s v="Small"/>
    <x v="0"/>
    <n v="48.162250999999998"/>
    <n v="11.494811"/>
    <s v="Available"/>
    <x v="1"/>
    <d v="2024-04-02T00:00:00"/>
    <s v="April"/>
    <s v="Bob Bobson"/>
    <s v="OK"/>
  </r>
  <r>
    <n v="456"/>
    <x v="2"/>
    <x v="2"/>
    <n v="0.25600000000000001"/>
    <x v="2"/>
    <n v="16"/>
    <s v="Small"/>
    <x v="2"/>
    <n v="48.160432"/>
    <n v="11.494472"/>
    <s v="Available"/>
    <x v="1"/>
    <d v="2024-04-02T00:00:00"/>
    <s v="April"/>
    <s v="Bob Bobson"/>
    <s v="OK"/>
  </r>
  <r>
    <n v="457"/>
    <x v="2"/>
    <x v="2"/>
    <n v="0.317"/>
    <x v="2"/>
    <n v="21"/>
    <s v="Small"/>
    <x v="2"/>
    <n v="48.162562999999999"/>
    <n v="11.495277"/>
    <s v="Available"/>
    <x v="1"/>
    <d v="2024-04-02T00:00:00"/>
    <s v="April"/>
    <s v="Bob Bobson"/>
    <s v="OK"/>
  </r>
  <r>
    <n v="458"/>
    <x v="2"/>
    <x v="2"/>
    <n v="0.26600000000000001"/>
    <x v="2"/>
    <n v="18"/>
    <s v="Small"/>
    <x v="2"/>
    <n v="48.161906000000002"/>
    <n v="11.490434"/>
    <s v="Available"/>
    <x v="1"/>
    <d v="2024-04-02T00:00:00"/>
    <s v="April"/>
    <s v="Bob Bobson"/>
    <s v="OK"/>
  </r>
  <r>
    <n v="459"/>
    <x v="2"/>
    <x v="2"/>
    <n v="0.28299999999999997"/>
    <x v="2"/>
    <n v="21"/>
    <s v="Small"/>
    <x v="0"/>
    <n v="49.562323999999997"/>
    <n v="11.092212"/>
    <s v="Available"/>
    <x v="1"/>
    <d v="2024-04-02T00:00:00"/>
    <s v="April"/>
    <s v="Bob Bobson"/>
    <s v="OK"/>
  </r>
  <r>
    <n v="460"/>
    <x v="2"/>
    <x v="2"/>
    <n v="0.30499999999999999"/>
    <x v="2"/>
    <n v="18"/>
    <s v="Small"/>
    <x v="2"/>
    <n v="49.561973000000002"/>
    <n v="11.086554"/>
    <s v="Available"/>
    <x v="1"/>
    <d v="2024-04-02T00:00:00"/>
    <s v="April"/>
    <s v="Bob Bobson"/>
    <s v="OK"/>
  </r>
  <r>
    <n v="461"/>
    <x v="2"/>
    <x v="5"/>
    <n v="0.28199999999999997"/>
    <x v="2"/>
    <n v="18"/>
    <s v="Small"/>
    <x v="0"/>
    <n v="47.781754999999997"/>
    <n v="14.385083"/>
    <s v="Available"/>
    <x v="1"/>
    <d v="2024-04-02T00:00:00"/>
    <s v="April"/>
    <s v="Bob Bobson"/>
    <s v="OK"/>
  </r>
  <r>
    <n v="462"/>
    <x v="2"/>
    <x v="2"/>
    <n v="0.318"/>
    <x v="2"/>
    <n v="18"/>
    <s v="Small"/>
    <x v="0"/>
    <n v="49.557527"/>
    <n v="11.089447"/>
    <s v="Available"/>
    <x v="1"/>
    <d v="2024-04-02T00:00:00"/>
    <s v="April"/>
    <s v="Bob Bobson"/>
    <s v="OK"/>
  </r>
  <r>
    <n v="463"/>
    <x v="1"/>
    <x v="3"/>
    <n v="27"/>
    <x v="1"/>
    <n v="94"/>
    <s v="Medium"/>
    <x v="2"/>
    <n v="48.411163000000002"/>
    <n v="18.864362"/>
    <s v="Available"/>
    <x v="1"/>
    <d v="2024-04-02T00:00:00"/>
    <s v="April"/>
    <s v="John Johnson"/>
    <s v="OK"/>
  </r>
  <r>
    <n v="464"/>
    <x v="2"/>
    <x v="3"/>
    <n v="0.33900000000000002"/>
    <x v="2"/>
    <n v="20"/>
    <s v="Small"/>
    <x v="0"/>
    <n v="48.410770999999997"/>
    <n v="18.865888000000002"/>
    <s v="Available"/>
    <x v="1"/>
    <d v="2024-04-02T00:00:00"/>
    <s v="April"/>
    <s v="John Johnson"/>
    <s v="OK"/>
  </r>
  <r>
    <n v="465"/>
    <x v="2"/>
    <x v="3"/>
    <n v="0.30199999999999999"/>
    <x v="2"/>
    <n v="19"/>
    <s v="Small"/>
    <x v="0"/>
    <n v="48.410201000000001"/>
    <n v="18.862513"/>
    <s v="Available"/>
    <x v="1"/>
    <d v="2024-04-02T00:00:00"/>
    <s v="April"/>
    <s v="John Johnson"/>
    <s v="OK"/>
  </r>
  <r>
    <n v="466"/>
    <x v="2"/>
    <x v="3"/>
    <n v="0.27600000000000002"/>
    <x v="2"/>
    <n v="19"/>
    <s v="Small"/>
    <x v="0"/>
    <n v="48.408110999999998"/>
    <n v="18.865646000000002"/>
    <s v="Available"/>
    <x v="1"/>
    <d v="2024-04-02T00:00:00"/>
    <s v="April"/>
    <s v="John Johnson"/>
    <s v="OK"/>
  </r>
  <r>
    <n v="467"/>
    <x v="2"/>
    <x v="3"/>
    <n v="0.252"/>
    <x v="2"/>
    <n v="19"/>
    <s v="Small"/>
    <x v="2"/>
    <n v="48.410932000000003"/>
    <n v="18.861704"/>
    <s v="Available"/>
    <x v="1"/>
    <d v="2024-04-02T00:00:00"/>
    <s v="April"/>
    <s v="John Johnson"/>
    <s v="OK"/>
  </r>
  <r>
    <n v="468"/>
    <x v="2"/>
    <x v="3"/>
    <n v="0.29299999999999998"/>
    <x v="2"/>
    <n v="19"/>
    <s v="Small"/>
    <x v="0"/>
    <n v="48.227614000000003"/>
    <n v="17.072903"/>
    <s v="Available"/>
    <x v="1"/>
    <d v="2024-04-02T00:00:00"/>
    <s v="April"/>
    <s v="John Johnson"/>
    <s v="OK"/>
  </r>
  <r>
    <n v="469"/>
    <x v="2"/>
    <x v="1"/>
    <n v="0.28599999999999998"/>
    <x v="2"/>
    <n v="18"/>
    <s v="Small"/>
    <x v="0"/>
    <n v="47.50826"/>
    <n v="18.948349"/>
    <s v="Available"/>
    <x v="1"/>
    <d v="2024-04-03T00:00:00"/>
    <s v="April"/>
    <s v="Anne Anthony"/>
    <s v="OK"/>
  </r>
  <r>
    <n v="470"/>
    <x v="3"/>
    <x v="2"/>
    <n v="1.2"/>
    <x v="2"/>
    <n v="22"/>
    <s v="Small"/>
    <x v="0"/>
    <n v="49.551211000000002"/>
    <n v="11.077661000000001"/>
    <s v="Available"/>
    <x v="1"/>
    <d v="2024-04-03T00:00:00"/>
    <s v="April"/>
    <s v="Bob Bobson"/>
    <s v="OK"/>
  </r>
  <r>
    <n v="471"/>
    <x v="3"/>
    <x v="2"/>
    <n v="0.9"/>
    <x v="2"/>
    <n v="23"/>
    <s v="Small"/>
    <x v="2"/>
    <n v="49.562582999999997"/>
    <n v="11.082312"/>
    <s v="Available"/>
    <x v="1"/>
    <d v="2024-04-03T00:00:00"/>
    <s v="April"/>
    <s v="Bob Bobson"/>
    <s v="OK"/>
  </r>
  <r>
    <n v="472"/>
    <x v="3"/>
    <x v="2"/>
    <n v="0.7"/>
    <x v="2"/>
    <n v="23"/>
    <s v="Small"/>
    <x v="2"/>
    <n v="49.547597000000003"/>
    <n v="11.079679"/>
    <s v="Available"/>
    <x v="1"/>
    <d v="2024-04-03T00:00:00"/>
    <s v="April"/>
    <s v="Bob Bobson"/>
    <s v="OK"/>
  </r>
  <r>
    <n v="473"/>
    <x v="3"/>
    <x v="3"/>
    <n v="1.2"/>
    <x v="2"/>
    <n v="26"/>
    <s v="Small"/>
    <x v="0"/>
    <n v="48.409120000000001"/>
    <n v="18.869274000000001"/>
    <s v="Available"/>
    <x v="1"/>
    <d v="2024-04-03T00:00:00"/>
    <s v="April"/>
    <s v="John Johnson"/>
    <s v="OK"/>
  </r>
  <r>
    <n v="474"/>
    <x v="2"/>
    <x v="4"/>
    <n v="0.25800000000000001"/>
    <x v="2"/>
    <n v="21"/>
    <s v="Small"/>
    <x v="2"/>
    <n v="49.938786999999998"/>
    <n v="14.178284"/>
    <s v="Available"/>
    <x v="1"/>
    <d v="2024-04-03T00:00:00"/>
    <s v="April"/>
    <s v="John Johnson"/>
    <s v="OK"/>
  </r>
  <r>
    <n v="475"/>
    <x v="0"/>
    <x v="0"/>
    <n v="1000"/>
    <x v="0"/>
    <n v="295"/>
    <s v="Very Large"/>
    <x v="0"/>
    <n v="52.809542999999998"/>
    <n v="23.708563999999999"/>
    <s v="Available"/>
    <x v="1"/>
    <d v="2024-04-04T00:00:00"/>
    <s v="April"/>
    <s v="Anne Anthony"/>
    <s v="OK"/>
  </r>
  <r>
    <n v="476"/>
    <x v="3"/>
    <x v="1"/>
    <n v="0.7"/>
    <x v="2"/>
    <n v="23"/>
    <s v="Small"/>
    <x v="2"/>
    <n v="47.508516"/>
    <n v="18.949428999999999"/>
    <s v="Available"/>
    <x v="1"/>
    <d v="2024-04-04T00:00:00"/>
    <s v="April"/>
    <s v="Anne Anthony"/>
    <s v="OK"/>
  </r>
  <r>
    <n v="477"/>
    <x v="3"/>
    <x v="1"/>
    <n v="1.2"/>
    <x v="2"/>
    <n v="24"/>
    <s v="Small"/>
    <x v="0"/>
    <n v="47.508941"/>
    <n v="18.948915"/>
    <s v="Available"/>
    <x v="1"/>
    <d v="2024-04-04T00:00:00"/>
    <s v="April"/>
    <s v="Anne Anthony"/>
    <s v="OK"/>
  </r>
  <r>
    <n v="478"/>
    <x v="2"/>
    <x v="0"/>
    <n v="0.33700000000000002"/>
    <x v="2"/>
    <n v="22"/>
    <s v="Small"/>
    <x v="2"/>
    <n v="50.041818999999997"/>
    <n v="19.951542"/>
    <s v="Available"/>
    <x v="1"/>
    <d v="2024-04-04T00:00:00"/>
    <s v="April"/>
    <s v="Anne Anthony"/>
    <s v="OK"/>
  </r>
  <r>
    <n v="479"/>
    <x v="2"/>
    <x v="0"/>
    <n v="0.27200000000000002"/>
    <x v="2"/>
    <n v="23"/>
    <s v="Small"/>
    <x v="2"/>
    <n v="50.041800000000002"/>
    <n v="19.950244000000001"/>
    <s v="Available"/>
    <x v="1"/>
    <d v="2024-04-04T00:00:00"/>
    <s v="April"/>
    <s v="Anne Anthony"/>
    <s v="OK"/>
  </r>
  <r>
    <n v="480"/>
    <x v="2"/>
    <x v="1"/>
    <n v="0.26200000000000001"/>
    <x v="2"/>
    <n v="22"/>
    <s v="Small"/>
    <x v="0"/>
    <n v="47.508904999999999"/>
    <n v="18.946570000000001"/>
    <s v="Available"/>
    <x v="1"/>
    <d v="2024-04-04T00:00:00"/>
    <s v="April"/>
    <s v="Anne Anthony"/>
    <s v="OK"/>
  </r>
  <r>
    <n v="481"/>
    <x v="0"/>
    <x v="0"/>
    <n v="557"/>
    <x v="0"/>
    <n v="255"/>
    <s v="Very Large"/>
    <x v="2"/>
    <n v="52.811203999999996"/>
    <n v="23.697814000000001"/>
    <s v="Available"/>
    <x v="1"/>
    <d v="2024-04-05T00:00:00"/>
    <s v="April"/>
    <s v="Anne Anthony"/>
    <s v="OK"/>
  </r>
  <r>
    <n v="482"/>
    <x v="3"/>
    <x v="1"/>
    <n v="0.8"/>
    <x v="2"/>
    <n v="17"/>
    <s v="Small"/>
    <x v="2"/>
    <n v="47.507072999999998"/>
    <n v="18.947873000000001"/>
    <s v="Available"/>
    <x v="1"/>
    <d v="2024-04-05T00:00:00"/>
    <s v="April"/>
    <s v="Anne Anthony"/>
    <s v="OK"/>
  </r>
  <r>
    <n v="483"/>
    <x v="3"/>
    <x v="5"/>
    <n v="0.9"/>
    <x v="2"/>
    <n v="22"/>
    <s v="Small"/>
    <x v="2"/>
    <n v="47.31758"/>
    <n v="11.187606000000001"/>
    <s v="Available"/>
    <x v="1"/>
    <d v="2024-04-05T00:00:00"/>
    <s v="April"/>
    <s v="Bob Bobson"/>
    <s v="OK"/>
  </r>
  <r>
    <n v="484"/>
    <x v="3"/>
    <x v="5"/>
    <n v="0.8"/>
    <x v="2"/>
    <n v="16"/>
    <s v="Small"/>
    <x v="0"/>
    <n v="47.319470000000003"/>
    <n v="11.18573"/>
    <s v="Available"/>
    <x v="1"/>
    <d v="2024-04-05T00:00:00"/>
    <s v="April"/>
    <s v="Bob Bobson"/>
    <s v="OK"/>
  </r>
  <r>
    <n v="485"/>
    <x v="3"/>
    <x v="5"/>
    <n v="0.7"/>
    <x v="2"/>
    <n v="18"/>
    <s v="Small"/>
    <x v="0"/>
    <n v="47.319811999999999"/>
    <n v="11.18479"/>
    <s v="Available"/>
    <x v="1"/>
    <d v="2024-04-05T00:00:00"/>
    <s v="April"/>
    <s v="Bob Bobson"/>
    <s v="OK"/>
  </r>
  <r>
    <n v="486"/>
    <x v="3"/>
    <x v="5"/>
    <n v="0.8"/>
    <x v="2"/>
    <n v="20"/>
    <s v="Small"/>
    <x v="2"/>
    <n v="47.316383000000002"/>
    <n v="11.188381"/>
    <s v="Available"/>
    <x v="1"/>
    <d v="2024-04-05T00:00:00"/>
    <s v="April"/>
    <s v="Bob Bobson"/>
    <s v="OK"/>
  </r>
  <r>
    <n v="487"/>
    <x v="2"/>
    <x v="5"/>
    <n v="0.29899999999999999"/>
    <x v="2"/>
    <n v="20"/>
    <s v="Small"/>
    <x v="2"/>
    <n v="47.781131000000002"/>
    <n v="14.382206999999999"/>
    <s v="Available"/>
    <x v="1"/>
    <d v="2024-04-05T00:00:00"/>
    <s v="April"/>
    <s v="Bob Bobson"/>
    <s v="OK"/>
  </r>
  <r>
    <n v="488"/>
    <x v="2"/>
    <x v="5"/>
    <n v="0.26600000000000001"/>
    <x v="2"/>
    <n v="20"/>
    <s v="Small"/>
    <x v="2"/>
    <n v="47.781632000000002"/>
    <n v="14.382365"/>
    <s v="Available"/>
    <x v="1"/>
    <d v="2024-04-05T00:00:00"/>
    <s v="April"/>
    <s v="Bob Bobson"/>
    <s v="OK"/>
  </r>
  <r>
    <n v="489"/>
    <x v="2"/>
    <x v="5"/>
    <n v="0.308"/>
    <x v="2"/>
    <n v="18"/>
    <s v="Small"/>
    <x v="0"/>
    <n v="47.780904"/>
    <n v="14.385669"/>
    <s v="Available"/>
    <x v="1"/>
    <d v="2024-04-05T00:00:00"/>
    <s v="April"/>
    <s v="Bob Bobson"/>
    <s v="OK"/>
  </r>
  <r>
    <n v="490"/>
    <x v="2"/>
    <x v="5"/>
    <n v="0.26400000000000001"/>
    <x v="2"/>
    <n v="22"/>
    <s v="Small"/>
    <x v="0"/>
    <n v="47.781089000000001"/>
    <n v="14.385211"/>
    <s v="Available"/>
    <x v="1"/>
    <d v="2024-04-05T00:00:00"/>
    <s v="April"/>
    <s v="Bob Bobson"/>
    <s v="OK"/>
  </r>
  <r>
    <n v="491"/>
    <x v="2"/>
    <x v="5"/>
    <n v="0.32200000000000001"/>
    <x v="2"/>
    <n v="20"/>
    <s v="Small"/>
    <x v="0"/>
    <n v="47.781332999999997"/>
    <n v="14.382547000000001"/>
    <s v="Available"/>
    <x v="1"/>
    <d v="2024-04-05T00:00:00"/>
    <s v="April"/>
    <s v="Bob Bobson"/>
    <s v="OK"/>
  </r>
  <r>
    <n v="492"/>
    <x v="2"/>
    <x v="5"/>
    <n v="0.33200000000000002"/>
    <x v="2"/>
    <n v="18"/>
    <s v="Small"/>
    <x v="2"/>
    <n v="47.780926999999998"/>
    <n v="14.382187999999999"/>
    <s v="Available"/>
    <x v="1"/>
    <d v="2024-04-05T00:00:00"/>
    <s v="April"/>
    <s v="Bob Bobson"/>
    <s v="OK"/>
  </r>
  <r>
    <n v="493"/>
    <x v="2"/>
    <x v="5"/>
    <n v="0.253"/>
    <x v="2"/>
    <n v="21"/>
    <s v="Small"/>
    <x v="0"/>
    <n v="47.856031999999999"/>
    <n v="15.076768"/>
    <s v="Available"/>
    <x v="1"/>
    <d v="2024-04-05T00:00:00"/>
    <s v="April"/>
    <s v="Bob Bobson"/>
    <s v="OK"/>
  </r>
  <r>
    <n v="494"/>
    <x v="2"/>
    <x v="2"/>
    <n v="0.317"/>
    <x v="2"/>
    <n v="20"/>
    <s v="Small"/>
    <x v="2"/>
    <n v="49.545912999999999"/>
    <n v="11.081051"/>
    <s v="Available"/>
    <x v="1"/>
    <d v="2024-04-05T00:00:00"/>
    <s v="April"/>
    <s v="Bob Bobson"/>
    <s v="OK"/>
  </r>
  <r>
    <n v="495"/>
    <x v="2"/>
    <x v="2"/>
    <n v="0.32700000000000001"/>
    <x v="2"/>
    <n v="20"/>
    <s v="Small"/>
    <x v="0"/>
    <n v="49.550427999999997"/>
    <n v="11.077659000000001"/>
    <s v="Available"/>
    <x v="1"/>
    <d v="2024-04-05T00:00:00"/>
    <s v="April"/>
    <s v="Bob Bobson"/>
    <s v="OK"/>
  </r>
  <r>
    <n v="496"/>
    <x v="2"/>
    <x v="2"/>
    <n v="0.255"/>
    <x v="2"/>
    <n v="19"/>
    <s v="Small"/>
    <x v="2"/>
    <n v="49.558869000000001"/>
    <n v="11.076638000000001"/>
    <s v="Available"/>
    <x v="1"/>
    <d v="2024-04-05T00:00:00"/>
    <s v="April"/>
    <s v="Bob Bobson"/>
    <s v="OK"/>
  </r>
  <r>
    <n v="497"/>
    <x v="3"/>
    <x v="3"/>
    <n v="0.8"/>
    <x v="2"/>
    <n v="21"/>
    <s v="Small"/>
    <x v="2"/>
    <n v="48.412407999999999"/>
    <n v="18.869074000000001"/>
    <s v="Available"/>
    <x v="1"/>
    <d v="2024-04-05T00:00:00"/>
    <s v="April"/>
    <s v="John Johnson"/>
    <s v="OK"/>
  </r>
  <r>
    <n v="498"/>
    <x v="1"/>
    <x v="4"/>
    <n v="15"/>
    <x v="2"/>
    <n v="70"/>
    <s v="Medium"/>
    <x v="0"/>
    <n v="50.883893999999998"/>
    <n v="14.372363999999999"/>
    <s v="Available"/>
    <x v="1"/>
    <d v="2024-04-05T00:00:00"/>
    <s v="April"/>
    <s v="John Johnson"/>
    <s v="OK"/>
  </r>
  <r>
    <n v="499"/>
    <x v="2"/>
    <x v="3"/>
    <n v="0.3"/>
    <x v="2"/>
    <n v="19"/>
    <s v="Small"/>
    <x v="2"/>
    <n v="48.229837000000003"/>
    <n v="17.089217999999999"/>
    <s v="Available"/>
    <x v="1"/>
    <d v="2024-04-05T00:00:00"/>
    <s v="April"/>
    <s v="John Johnson"/>
    <s v="OK"/>
  </r>
  <r>
    <n v="500"/>
    <x v="0"/>
    <x v="0"/>
    <n v="589"/>
    <x v="0"/>
    <n v="279"/>
    <s v="Very Large"/>
    <x v="2"/>
    <n v="52.808703999999999"/>
    <n v="23.705504000000001"/>
    <s v="Available"/>
    <x v="1"/>
    <d v="2024-04-06T00:00:00"/>
    <s v="April"/>
    <s v="Anne Anthony"/>
    <s v="OK"/>
  </r>
  <r>
    <n v="501"/>
    <x v="3"/>
    <x v="1"/>
    <n v="0.7"/>
    <x v="2"/>
    <n v="16"/>
    <s v="Small"/>
    <x v="2"/>
    <n v="47.510230999999997"/>
    <n v="18.940041999999998"/>
    <s v="Available"/>
    <x v="1"/>
    <d v="2024-04-06T00:00:00"/>
    <s v="April"/>
    <s v="Anne Anthony"/>
    <s v="OK"/>
  </r>
  <r>
    <n v="502"/>
    <x v="3"/>
    <x v="1"/>
    <n v="0.8"/>
    <x v="2"/>
    <n v="14"/>
    <s v="Small"/>
    <x v="2"/>
    <n v="47.509073000000001"/>
    <n v="18.946838"/>
    <s v="Available"/>
    <x v="1"/>
    <d v="2024-04-06T00:00:00"/>
    <s v="April"/>
    <s v="Anne Anthony"/>
    <s v="OK"/>
  </r>
  <r>
    <n v="503"/>
    <x v="2"/>
    <x v="0"/>
    <n v="0.34799999999999998"/>
    <x v="2"/>
    <n v="23"/>
    <s v="Small"/>
    <x v="0"/>
    <n v="50.041252"/>
    <n v="19.950033000000001"/>
    <s v="Available"/>
    <x v="1"/>
    <d v="2024-04-06T00:00:00"/>
    <s v="April"/>
    <s v="Anne Anthony"/>
    <s v="OK"/>
  </r>
  <r>
    <n v="504"/>
    <x v="2"/>
    <x v="5"/>
    <n v="0.29399999999999998"/>
    <x v="2"/>
    <n v="22"/>
    <s v="Small"/>
    <x v="0"/>
    <n v="47.855007000000001"/>
    <n v="15.076539"/>
    <s v="Available"/>
    <x v="1"/>
    <d v="2024-04-06T00:00:00"/>
    <s v="April"/>
    <s v="Bob Bobson"/>
    <s v="OK"/>
  </r>
  <r>
    <n v="505"/>
    <x v="2"/>
    <x v="2"/>
    <n v="0.29899999999999999"/>
    <x v="2"/>
    <n v="19"/>
    <s v="Small"/>
    <x v="0"/>
    <m/>
    <m/>
    <s v="Missing Location"/>
    <x v="1"/>
    <d v="2024-04-06T00:00:00"/>
    <s v="April"/>
    <s v="Bob Bobson"/>
    <s v="Needs Review"/>
  </r>
  <r>
    <n v="506"/>
    <x v="2"/>
    <x v="2"/>
    <n v="0.314"/>
    <x v="2"/>
    <n v="19"/>
    <s v="Small"/>
    <x v="2"/>
    <m/>
    <m/>
    <s v="Missing Location"/>
    <x v="1"/>
    <d v="2024-04-06T00:00:00"/>
    <s v="April"/>
    <s v="Bob Bobson"/>
    <s v="Needs Review"/>
  </r>
  <r>
    <n v="507"/>
    <x v="2"/>
    <x v="2"/>
    <n v="0.29699999999999999"/>
    <x v="2"/>
    <n v="20"/>
    <s v="Small"/>
    <x v="0"/>
    <m/>
    <m/>
    <s v="Missing Location"/>
    <x v="1"/>
    <d v="2024-04-06T00:00:00"/>
    <s v="April"/>
    <s v="Bob Bobson"/>
    <s v="Needs Review"/>
  </r>
  <r>
    <n v="508"/>
    <x v="2"/>
    <x v="2"/>
    <n v="0.29799999999999999"/>
    <x v="2"/>
    <n v="21"/>
    <s v="Small"/>
    <x v="0"/>
    <m/>
    <m/>
    <s v="Missing Location"/>
    <x v="1"/>
    <d v="2024-04-06T00:00:00"/>
    <s v="April"/>
    <s v="Bob Bobson"/>
    <s v="Needs Review"/>
  </r>
  <r>
    <n v="509"/>
    <x v="2"/>
    <x v="2"/>
    <n v="0.30099999999999999"/>
    <x v="2"/>
    <n v="19"/>
    <s v="Small"/>
    <x v="0"/>
    <m/>
    <m/>
    <s v="Missing Location"/>
    <x v="1"/>
    <d v="2024-04-06T00:00:00"/>
    <s v="April"/>
    <s v="Bob Bobson"/>
    <s v="Needs Review"/>
  </r>
  <r>
    <n v="510"/>
    <x v="2"/>
    <x v="2"/>
    <n v="0.26700000000000002"/>
    <x v="2"/>
    <n v="20"/>
    <s v="Small"/>
    <x v="2"/>
    <m/>
    <m/>
    <s v="Missing Location"/>
    <x v="1"/>
    <d v="2024-04-06T00:00:00"/>
    <s v="April"/>
    <s v="Bob Bobson"/>
    <s v="Needs Review"/>
  </r>
  <r>
    <n v="511"/>
    <x v="2"/>
    <x v="2"/>
    <n v="0.315"/>
    <x v="2"/>
    <n v="21"/>
    <s v="Small"/>
    <x v="0"/>
    <m/>
    <m/>
    <s v="Missing Location"/>
    <x v="1"/>
    <d v="2024-04-06T00:00:00"/>
    <s v="April"/>
    <s v="Bob Bobson"/>
    <s v="Needs Review"/>
  </r>
  <r>
    <n v="512"/>
    <x v="2"/>
    <x v="2"/>
    <n v="0.3"/>
    <x v="2"/>
    <n v="21"/>
    <s v="Small"/>
    <x v="2"/>
    <m/>
    <m/>
    <s v="Missing Location"/>
    <x v="1"/>
    <d v="2024-04-06T00:00:00"/>
    <s v="April"/>
    <s v="Bob Bobson"/>
    <s v="Needs Review"/>
  </r>
  <r>
    <n v="513"/>
    <x v="2"/>
    <x v="2"/>
    <n v="0.3"/>
    <x v="2"/>
    <n v="21"/>
    <s v="Small"/>
    <x v="0"/>
    <m/>
    <m/>
    <s v="Missing Location"/>
    <x v="1"/>
    <d v="2024-04-06T00:00:00"/>
    <s v="April"/>
    <s v="Bob Bobson"/>
    <s v="Needs Review"/>
  </r>
  <r>
    <n v="514"/>
    <x v="2"/>
    <x v="2"/>
    <n v="0.26400000000000001"/>
    <x v="2"/>
    <n v="22"/>
    <s v="Small"/>
    <x v="2"/>
    <m/>
    <m/>
    <s v="Missing Location"/>
    <x v="1"/>
    <d v="2024-04-06T00:00:00"/>
    <s v="April"/>
    <s v="Bob Bobson"/>
    <s v="Needs Review"/>
  </r>
  <r>
    <n v="515"/>
    <x v="2"/>
    <x v="2"/>
    <n v="0.251"/>
    <x v="2"/>
    <n v="21"/>
    <s v="Small"/>
    <x v="0"/>
    <m/>
    <m/>
    <s v="Missing Location"/>
    <x v="1"/>
    <d v="2024-04-06T00:00:00"/>
    <s v="April"/>
    <s v="Bob Bobson"/>
    <s v="Needs Review"/>
  </r>
  <r>
    <n v="516"/>
    <x v="2"/>
    <x v="2"/>
    <n v="0.30199999999999999"/>
    <x v="2"/>
    <n v="22"/>
    <s v="Small"/>
    <x v="2"/>
    <m/>
    <m/>
    <s v="Missing Location"/>
    <x v="1"/>
    <d v="2024-04-06T00:00:00"/>
    <s v="April"/>
    <s v="Bob Bobson"/>
    <s v="Needs Review"/>
  </r>
  <r>
    <n v="517"/>
    <x v="2"/>
    <x v="2"/>
    <n v="0.26200000000000001"/>
    <x v="2"/>
    <n v="22"/>
    <s v="Small"/>
    <x v="2"/>
    <m/>
    <m/>
    <s v="Missing Location"/>
    <x v="1"/>
    <d v="2024-04-06T00:00:00"/>
    <s v="April"/>
    <s v="Bob Bobson"/>
    <s v="Needs Review"/>
  </r>
  <r>
    <n v="518"/>
    <x v="2"/>
    <x v="2"/>
    <n v="0.30099999999999999"/>
    <x v="2"/>
    <n v="20"/>
    <s v="Small"/>
    <x v="0"/>
    <m/>
    <m/>
    <s v="Missing Location"/>
    <x v="1"/>
    <d v="2024-04-06T00:00:00"/>
    <s v="April"/>
    <s v="Bob Bobson"/>
    <s v="Needs Review"/>
  </r>
  <r>
    <n v="519"/>
    <x v="2"/>
    <x v="2"/>
    <n v="0.24299999999999999"/>
    <x v="2"/>
    <n v="19"/>
    <s v="Small"/>
    <x v="0"/>
    <m/>
    <m/>
    <s v="Missing Location"/>
    <x v="1"/>
    <d v="2024-04-06T00:00:00"/>
    <s v="April"/>
    <s v="Bob Bobson"/>
    <s v="Needs Review"/>
  </r>
  <r>
    <n v="520"/>
    <x v="2"/>
    <x v="2"/>
    <n v="0.314"/>
    <x v="2"/>
    <n v="20"/>
    <s v="Small"/>
    <x v="0"/>
    <m/>
    <m/>
    <s v="Missing Location"/>
    <x v="1"/>
    <d v="2024-04-06T00:00:00"/>
    <s v="April"/>
    <s v="Bob Bobson"/>
    <s v="Needs Review"/>
  </r>
  <r>
    <n v="521"/>
    <x v="2"/>
    <x v="2"/>
    <n v="0.24399999999999999"/>
    <x v="2"/>
    <n v="20"/>
    <s v="Small"/>
    <x v="0"/>
    <m/>
    <m/>
    <s v="Missing Location"/>
    <x v="1"/>
    <d v="2024-04-06T00:00:00"/>
    <s v="April"/>
    <s v="Bob Bobson"/>
    <s v="Needs Review"/>
  </r>
  <r>
    <n v="522"/>
    <x v="2"/>
    <x v="2"/>
    <n v="0.25"/>
    <x v="2"/>
    <n v="22"/>
    <s v="Small"/>
    <x v="0"/>
    <m/>
    <m/>
    <s v="Missing Location"/>
    <x v="1"/>
    <d v="2024-04-06T00:00:00"/>
    <s v="April"/>
    <s v="Bob Bobson"/>
    <s v="Needs Review"/>
  </r>
  <r>
    <n v="523"/>
    <x v="2"/>
    <x v="2"/>
    <n v="0.27200000000000002"/>
    <x v="2"/>
    <n v="20"/>
    <s v="Small"/>
    <x v="0"/>
    <m/>
    <m/>
    <s v="Missing Location"/>
    <x v="1"/>
    <d v="2024-04-06T00:00:00"/>
    <s v="April"/>
    <s v="Bob Bobson"/>
    <s v="Needs Review"/>
  </r>
  <r>
    <n v="524"/>
    <x v="2"/>
    <x v="2"/>
    <n v="0.28899999999999998"/>
    <x v="2"/>
    <n v="20"/>
    <s v="Small"/>
    <x v="0"/>
    <m/>
    <m/>
    <s v="Missing Location"/>
    <x v="1"/>
    <d v="2024-04-06T00:00:00"/>
    <s v="April"/>
    <s v="Bob Bobson"/>
    <s v="Needs Review"/>
  </r>
  <r>
    <n v="525"/>
    <x v="2"/>
    <x v="2"/>
    <n v="0.315"/>
    <x v="2"/>
    <n v="20"/>
    <s v="Small"/>
    <x v="0"/>
    <m/>
    <m/>
    <s v="Missing Location"/>
    <x v="1"/>
    <d v="2024-04-06T00:00:00"/>
    <s v="April"/>
    <s v="Bob Bobson"/>
    <s v="Needs Review"/>
  </r>
  <r>
    <n v="526"/>
    <x v="2"/>
    <x v="2"/>
    <n v="0.30399999999999999"/>
    <x v="2"/>
    <n v="21"/>
    <s v="Small"/>
    <x v="0"/>
    <m/>
    <m/>
    <s v="Missing Location"/>
    <x v="1"/>
    <d v="2024-04-06T00:00:00"/>
    <s v="April"/>
    <s v="Bob Bobson"/>
    <s v="Needs Review"/>
  </r>
  <r>
    <n v="527"/>
    <x v="2"/>
    <x v="2"/>
    <n v="0.24099999999999999"/>
    <x v="2"/>
    <n v="19"/>
    <s v="Small"/>
    <x v="0"/>
    <m/>
    <m/>
    <s v="Missing Location"/>
    <x v="1"/>
    <d v="2024-04-06T00:00:00"/>
    <s v="April"/>
    <s v="Bob Bobson"/>
    <s v="Needs Review"/>
  </r>
  <r>
    <n v="528"/>
    <x v="2"/>
    <x v="2"/>
    <n v="0.248"/>
    <x v="2"/>
    <n v="22"/>
    <s v="Small"/>
    <x v="0"/>
    <m/>
    <m/>
    <s v="Missing Location"/>
    <x v="1"/>
    <d v="2024-04-06T00:00:00"/>
    <s v="April"/>
    <s v="Bob Bobson"/>
    <s v="Needs Review"/>
  </r>
  <r>
    <n v="529"/>
    <x v="2"/>
    <x v="2"/>
    <n v="0.28999999999999998"/>
    <x v="2"/>
    <n v="21"/>
    <s v="Small"/>
    <x v="0"/>
    <m/>
    <m/>
    <s v="Missing Location"/>
    <x v="1"/>
    <d v="2024-04-06T00:00:00"/>
    <s v="April"/>
    <s v="Bob Bobson"/>
    <s v="Needs Review"/>
  </r>
  <r>
    <n v="530"/>
    <x v="2"/>
    <x v="5"/>
    <n v="0.31900000000000001"/>
    <x v="2"/>
    <n v="20"/>
    <s v="Small"/>
    <x v="0"/>
    <m/>
    <m/>
    <s v="Missing Location"/>
    <x v="1"/>
    <d v="2024-04-06T00:00:00"/>
    <s v="April"/>
    <s v="Bob Bobson"/>
    <s v="Needs Review"/>
  </r>
  <r>
    <n v="531"/>
    <x v="2"/>
    <x v="5"/>
    <n v="0.29199999999999998"/>
    <x v="2"/>
    <n v="19"/>
    <s v="Small"/>
    <x v="2"/>
    <m/>
    <m/>
    <s v="Missing Location"/>
    <x v="1"/>
    <d v="2024-04-06T00:00:00"/>
    <s v="April"/>
    <s v="Bob Bobson"/>
    <s v="Needs Review"/>
  </r>
  <r>
    <n v="532"/>
    <x v="2"/>
    <x v="5"/>
    <n v="0.31900000000000001"/>
    <x v="2"/>
    <n v="19"/>
    <s v="Small"/>
    <x v="2"/>
    <m/>
    <m/>
    <s v="Missing Location"/>
    <x v="1"/>
    <d v="2024-04-06T00:00:00"/>
    <s v="April"/>
    <s v="Bob Bobson"/>
    <s v="Needs Review"/>
  </r>
  <r>
    <n v="533"/>
    <x v="2"/>
    <x v="5"/>
    <n v="0.29799999999999999"/>
    <x v="2"/>
    <n v="20"/>
    <s v="Small"/>
    <x v="0"/>
    <m/>
    <m/>
    <s v="Missing Location"/>
    <x v="1"/>
    <d v="2024-04-06T00:00:00"/>
    <s v="April"/>
    <s v="Bob Bobson"/>
    <s v="Needs Review"/>
  </r>
  <r>
    <n v="534"/>
    <x v="2"/>
    <x v="5"/>
    <n v="0.255"/>
    <x v="2"/>
    <n v="22"/>
    <s v="Small"/>
    <x v="0"/>
    <m/>
    <m/>
    <s v="Missing Location"/>
    <x v="1"/>
    <d v="2024-04-06T00:00:00"/>
    <s v="April"/>
    <s v="Bob Bobson"/>
    <s v="Needs Review"/>
  </r>
  <r>
    <n v="535"/>
    <x v="2"/>
    <x v="5"/>
    <n v="0.3"/>
    <x v="2"/>
    <n v="20"/>
    <s v="Small"/>
    <x v="0"/>
    <m/>
    <m/>
    <s v="Missing Location"/>
    <x v="1"/>
    <d v="2024-04-06T00:00:00"/>
    <s v="April"/>
    <s v="Bob Bobson"/>
    <s v="Needs Review"/>
  </r>
  <r>
    <n v="536"/>
    <x v="2"/>
    <x v="5"/>
    <n v="0.252"/>
    <x v="2"/>
    <n v="21"/>
    <s v="Small"/>
    <x v="0"/>
    <m/>
    <m/>
    <s v="Missing Location"/>
    <x v="1"/>
    <d v="2024-04-06T00:00:00"/>
    <s v="April"/>
    <s v="Bob Bobson"/>
    <s v="Needs Review"/>
  </r>
  <r>
    <n v="537"/>
    <x v="3"/>
    <x v="3"/>
    <n v="0.8"/>
    <x v="2"/>
    <n v="17"/>
    <s v="Small"/>
    <x v="0"/>
    <n v="48.409644999999998"/>
    <n v="18.872415"/>
    <s v="Available"/>
    <x v="1"/>
    <d v="2024-04-06T00:00:00"/>
    <s v="April"/>
    <s v="John Johnson"/>
    <s v="OK"/>
  </r>
  <r>
    <n v="538"/>
    <x v="1"/>
    <x v="4"/>
    <n v="26"/>
    <x v="1"/>
    <n v="88"/>
    <s v="Medium"/>
    <x v="2"/>
    <n v="50.883881000000002"/>
    <n v="14.373018"/>
    <s v="Available"/>
    <x v="1"/>
    <d v="2024-04-06T00:00:00"/>
    <s v="April"/>
    <s v="John Johnson"/>
    <s v="OK"/>
  </r>
  <r>
    <n v="539"/>
    <x v="2"/>
    <x v="4"/>
    <n v="0.316"/>
    <x v="2"/>
    <n v="23"/>
    <s v="Small"/>
    <x v="2"/>
    <n v="49.939309999999999"/>
    <n v="14.181266000000001"/>
    <s v="Available"/>
    <x v="1"/>
    <d v="2024-04-06T00:00:00"/>
    <s v="April"/>
    <s v="John Johnson"/>
    <s v="OK"/>
  </r>
  <r>
    <n v="540"/>
    <x v="2"/>
    <x v="4"/>
    <n v="0.32700000000000001"/>
    <x v="2"/>
    <n v="21"/>
    <s v="Small"/>
    <x v="0"/>
    <n v="49.938616000000003"/>
    <n v="14.181291"/>
    <s v="Available"/>
    <x v="1"/>
    <d v="2024-04-06T00:00:00"/>
    <s v="April"/>
    <s v="John Johnson"/>
    <s v="OK"/>
  </r>
  <r>
    <n v="541"/>
    <x v="2"/>
    <x v="4"/>
    <n v="0.28799999999999998"/>
    <x v="2"/>
    <n v="18"/>
    <s v="Small"/>
    <x v="0"/>
    <n v="49.937838999999997"/>
    <n v="14.179074999999999"/>
    <s v="Available"/>
    <x v="1"/>
    <d v="2024-04-06T00:00:00"/>
    <s v="April"/>
    <s v="John Johnson"/>
    <s v="OK"/>
  </r>
  <r>
    <n v="542"/>
    <x v="2"/>
    <x v="4"/>
    <n v="0.313"/>
    <x v="2"/>
    <n v="22"/>
    <s v="Small"/>
    <x v="2"/>
    <n v="49.939307999999997"/>
    <n v="14.180747"/>
    <s v="Available"/>
    <x v="1"/>
    <d v="2024-04-06T00:00:00"/>
    <s v="April"/>
    <s v="John Johnson"/>
    <s v="OK"/>
  </r>
  <r>
    <n v="543"/>
    <x v="0"/>
    <x v="0"/>
    <n v="1100"/>
    <x v="0"/>
    <n v="350"/>
    <s v="Very Large"/>
    <x v="0"/>
    <n v="52.803316000000002"/>
    <n v="23.686301"/>
    <s v="Available"/>
    <x v="1"/>
    <d v="2024-04-07T00:00:00"/>
    <s v="April"/>
    <s v="Anne Anthony"/>
    <s v="OK"/>
  </r>
  <r>
    <n v="544"/>
    <x v="3"/>
    <x v="1"/>
    <n v="0.9"/>
    <x v="2"/>
    <n v="16"/>
    <s v="Small"/>
    <x v="2"/>
    <n v="47.506638000000002"/>
    <n v="18.940090999999999"/>
    <s v="Available"/>
    <x v="1"/>
    <d v="2024-04-07T00:00:00"/>
    <s v="April"/>
    <s v="Anne Anthony"/>
    <s v="OK"/>
  </r>
  <r>
    <n v="545"/>
    <x v="1"/>
    <x v="0"/>
    <n v="23"/>
    <x v="1"/>
    <n v="73"/>
    <s v="Medium"/>
    <x v="0"/>
    <n v="52.823016000000003"/>
    <n v="23.812286"/>
    <s v="Available"/>
    <x v="1"/>
    <d v="2024-04-07T00:00:00"/>
    <s v="April"/>
    <s v="Anne Anthony"/>
    <s v="OK"/>
  </r>
  <r>
    <n v="546"/>
    <x v="2"/>
    <x v="1"/>
    <n v="0.31900000000000001"/>
    <x v="2"/>
    <n v="18"/>
    <s v="Small"/>
    <x v="0"/>
    <n v="47.508665000000001"/>
    <n v="18.940456000000001"/>
    <s v="Available"/>
    <x v="1"/>
    <d v="2024-04-07T00:00:00"/>
    <s v="April"/>
    <s v="Anne Anthony"/>
    <s v="OK"/>
  </r>
  <r>
    <n v="547"/>
    <x v="2"/>
    <x v="1"/>
    <n v="0.28000000000000003"/>
    <x v="2"/>
    <n v="21"/>
    <s v="Small"/>
    <x v="2"/>
    <n v="47.510978000000001"/>
    <n v="18.942962999999999"/>
    <s v="Available"/>
    <x v="1"/>
    <d v="2024-04-07T00:00:00"/>
    <s v="April"/>
    <s v="Anne Anthony"/>
    <s v="OK"/>
  </r>
  <r>
    <n v="548"/>
    <x v="2"/>
    <x v="5"/>
    <n v="0.26400000000000001"/>
    <x v="2"/>
    <n v="22"/>
    <s v="Small"/>
    <x v="2"/>
    <n v="47.857585999999998"/>
    <n v="15.081327999999999"/>
    <s v="Available"/>
    <x v="1"/>
    <d v="2024-04-07T00:00:00"/>
    <s v="April"/>
    <s v="Bob Bobson"/>
    <s v="OK"/>
  </r>
  <r>
    <n v="549"/>
    <x v="2"/>
    <x v="5"/>
    <n v="0.33400000000000002"/>
    <x v="2"/>
    <n v="19"/>
    <s v="Small"/>
    <x v="0"/>
    <n v="47.856971000000001"/>
    <n v="15.078984"/>
    <s v="Available"/>
    <x v="1"/>
    <d v="2024-04-07T00:00:00"/>
    <s v="April"/>
    <s v="Bob Bobson"/>
    <s v="OK"/>
  </r>
  <r>
    <n v="550"/>
    <x v="2"/>
    <x v="5"/>
    <n v="0.27800000000000002"/>
    <x v="2"/>
    <n v="21"/>
    <s v="Small"/>
    <x v="0"/>
    <n v="47.856769"/>
    <n v="15.076411"/>
    <s v="Available"/>
    <x v="1"/>
    <d v="2024-04-07T00:00:00"/>
    <s v="April"/>
    <s v="Bob Bobson"/>
    <s v="OK"/>
  </r>
  <r>
    <n v="551"/>
    <x v="2"/>
    <x v="5"/>
    <n v="0.33300000000000002"/>
    <x v="2"/>
    <n v="22"/>
    <s v="Small"/>
    <x v="2"/>
    <n v="47.855378999999999"/>
    <n v="15.077237"/>
    <s v="Available"/>
    <x v="4"/>
    <d v="2024-04-07T00:00:00"/>
    <s v="April"/>
    <s v="Bob Bobson"/>
    <s v="OK"/>
  </r>
  <r>
    <n v="552"/>
    <x v="2"/>
    <x v="5"/>
    <n v="0.32300000000000001"/>
    <x v="2"/>
    <n v="23"/>
    <s v="Small"/>
    <x v="0"/>
    <n v="47.856014999999999"/>
    <n v="15.08325"/>
    <s v="Available"/>
    <x v="1"/>
    <d v="2024-04-07T00:00:00"/>
    <s v="April"/>
    <s v="Bob Bobson"/>
    <s v="OK"/>
  </r>
  <r>
    <n v="553"/>
    <x v="3"/>
    <x v="3"/>
    <n v="1.1000000000000001"/>
    <x v="2"/>
    <n v="16"/>
    <s v="Small"/>
    <x v="2"/>
    <n v="48.413153999999999"/>
    <n v="18.875356"/>
    <s v="Available"/>
    <x v="1"/>
    <d v="2024-04-07T00:00:00"/>
    <s v="April"/>
    <s v="John Johnson"/>
    <s v="OK"/>
  </r>
  <r>
    <n v="554"/>
    <x v="2"/>
    <x v="0"/>
    <n v="0.26500000000000001"/>
    <x v="2"/>
    <n v="22"/>
    <s v="Small"/>
    <x v="2"/>
    <n v="50.041147000000002"/>
    <n v="19.95046"/>
    <s v="Available"/>
    <x v="1"/>
    <d v="2024-04-08T00:00:00"/>
    <s v="April"/>
    <s v="Anne Anthony"/>
    <s v="OK"/>
  </r>
  <r>
    <n v="555"/>
    <x v="2"/>
    <x v="5"/>
    <n v="0.27"/>
    <x v="2"/>
    <n v="23"/>
    <s v="Small"/>
    <x v="2"/>
    <n v="47.853881000000001"/>
    <n v="15.078367"/>
    <s v="Available"/>
    <x v="1"/>
    <d v="2024-04-08T00:00:00"/>
    <s v="April"/>
    <s v="Bob Bobson"/>
    <s v="OK"/>
  </r>
  <r>
    <n v="556"/>
    <x v="2"/>
    <x v="5"/>
    <n v="0.29899999999999999"/>
    <x v="2"/>
    <n v="19"/>
    <s v="Small"/>
    <x v="2"/>
    <n v="47.854855000000001"/>
    <n v="15.082167999999999"/>
    <s v="Available"/>
    <x v="8"/>
    <d v="2024-04-08T00:00:00"/>
    <s v="April"/>
    <s v="Bob Bobson"/>
    <s v="OK"/>
  </r>
  <r>
    <n v="557"/>
    <x v="2"/>
    <x v="5"/>
    <n v="0.3"/>
    <x v="2"/>
    <n v="21"/>
    <s v="Small"/>
    <x v="0"/>
    <n v="47.855215999999999"/>
    <n v="15.078877"/>
    <s v="Available"/>
    <x v="1"/>
    <d v="2024-04-08T00:00:00"/>
    <s v="April"/>
    <s v="Bob Bobson"/>
    <s v="OK"/>
  </r>
  <r>
    <n v="558"/>
    <x v="2"/>
    <x v="5"/>
    <n v="0.33800000000000002"/>
    <x v="2"/>
    <n v="19"/>
    <s v="Small"/>
    <x v="0"/>
    <n v="47.857495"/>
    <n v="15.078950000000001"/>
    <s v="Available"/>
    <x v="1"/>
    <d v="2024-04-08T00:00:00"/>
    <s v="April"/>
    <s v="Bob Bobson"/>
    <s v="OK"/>
  </r>
  <r>
    <n v="559"/>
    <x v="2"/>
    <x v="5"/>
    <n v="0.28499999999999998"/>
    <x v="2"/>
    <n v="21"/>
    <s v="Small"/>
    <x v="2"/>
    <n v="47.853875000000002"/>
    <n v="15.078745"/>
    <s v="Available"/>
    <x v="1"/>
    <d v="2024-04-08T00:00:00"/>
    <s v="April"/>
    <s v="Bob Bobson"/>
    <s v="OK"/>
  </r>
  <r>
    <n v="560"/>
    <x v="2"/>
    <x v="5"/>
    <n v="0.33300000000000002"/>
    <x v="2"/>
    <n v="19"/>
    <s v="Small"/>
    <x v="2"/>
    <n v="47.854756000000002"/>
    <n v="15.082891999999999"/>
    <s v="Available"/>
    <x v="8"/>
    <d v="2024-04-08T00:00:00"/>
    <s v="April"/>
    <s v="Bob Bobson"/>
    <s v="OK"/>
  </r>
  <r>
    <n v="561"/>
    <x v="2"/>
    <x v="5"/>
    <n v="0.32300000000000001"/>
    <x v="2"/>
    <n v="23"/>
    <s v="Small"/>
    <x v="0"/>
    <n v="47.854098999999998"/>
    <n v="15.076812"/>
    <s v="Available"/>
    <x v="1"/>
    <d v="2024-04-08T00:00:00"/>
    <s v="April"/>
    <s v="Bob Bobson"/>
    <s v="OK"/>
  </r>
  <r>
    <n v="562"/>
    <x v="0"/>
    <x v="4"/>
    <n v="560"/>
    <x v="0"/>
    <n v="250"/>
    <s v="Very Large"/>
    <x v="2"/>
    <n v="50.645077000000001"/>
    <n v="14.840304"/>
    <s v="Available"/>
    <x v="1"/>
    <d v="2024-04-08T00:00:00"/>
    <s v="April"/>
    <s v="John Johnson"/>
    <s v="OK"/>
  </r>
  <r>
    <n v="563"/>
    <x v="3"/>
    <x v="3"/>
    <n v="1.1000000000000001"/>
    <x v="2"/>
    <n v="25"/>
    <s v="Small"/>
    <x v="0"/>
    <n v="48.412590000000002"/>
    <n v="18.87302"/>
    <s v="Available"/>
    <x v="1"/>
    <d v="2024-04-08T00:00:00"/>
    <s v="April"/>
    <s v="John Johnson"/>
    <s v="OK"/>
  </r>
  <r>
    <n v="564"/>
    <x v="2"/>
    <x v="3"/>
    <n v="0.297366504854368"/>
    <x v="2"/>
    <n v="21"/>
    <s v="Small"/>
    <x v="0"/>
    <n v="49.057599000000003"/>
    <n v="22.422203"/>
    <s v="Available"/>
    <x v="1"/>
    <d v="2024-04-08T00:00:00"/>
    <s v="April"/>
    <s v="John Johnson"/>
    <s v="OK"/>
  </r>
  <r>
    <n v="565"/>
    <x v="2"/>
    <x v="3"/>
    <n v="0.26"/>
    <x v="2"/>
    <n v="18"/>
    <s v="Small"/>
    <x v="0"/>
    <n v="49.053175000000003"/>
    <n v="22.414666"/>
    <s v="Available"/>
    <x v="1"/>
    <d v="2024-04-08T00:00:00"/>
    <s v="April"/>
    <s v="John Johnson"/>
    <s v="OK"/>
  </r>
  <r>
    <n v="566"/>
    <x v="2"/>
    <x v="3"/>
    <n v="0.32900000000000001"/>
    <x v="2"/>
    <n v="20"/>
    <s v="Small"/>
    <x v="0"/>
    <n v="49.054662999999998"/>
    <n v="22.412082000000002"/>
    <s v="Available"/>
    <x v="1"/>
    <d v="2024-04-08T00:00:00"/>
    <s v="April"/>
    <s v="John Johnson"/>
    <s v="OK"/>
  </r>
  <r>
    <n v="567"/>
    <x v="2"/>
    <x v="3"/>
    <n v="0.33"/>
    <x v="2"/>
    <n v="21"/>
    <s v="Small"/>
    <x v="2"/>
    <n v="49.055275000000002"/>
    <n v="22.414210000000001"/>
    <s v="Available"/>
    <x v="1"/>
    <d v="2024-04-08T00:00:00"/>
    <s v="April"/>
    <s v="John Johnson"/>
    <s v="OK"/>
  </r>
  <r>
    <n v="568"/>
    <x v="2"/>
    <x v="3"/>
    <n v="0.27100000000000002"/>
    <x v="2"/>
    <n v="23"/>
    <s v="Small"/>
    <x v="0"/>
    <n v="49.052914000000001"/>
    <n v="22.422989999999999"/>
    <s v="Available"/>
    <x v="1"/>
    <d v="2024-04-08T00:00:00"/>
    <s v="April"/>
    <s v="John Johnson"/>
    <s v="OK"/>
  </r>
  <r>
    <n v="569"/>
    <x v="2"/>
    <x v="3"/>
    <n v="0.29799999999999999"/>
    <x v="2"/>
    <n v="18"/>
    <s v="Small"/>
    <x v="2"/>
    <n v="49.055453"/>
    <n v="22.423535999999999"/>
    <s v="Available"/>
    <x v="1"/>
    <d v="2024-04-08T00:00:00"/>
    <s v="April"/>
    <s v="John Johnson"/>
    <s v="OK"/>
  </r>
  <r>
    <n v="570"/>
    <x v="2"/>
    <x v="3"/>
    <n v="0.28100000000000003"/>
    <x v="2"/>
    <n v="23"/>
    <s v="Small"/>
    <x v="0"/>
    <n v="49.056583000000003"/>
    <n v="22.415431999999999"/>
    <s v="Available"/>
    <x v="1"/>
    <d v="2024-04-08T00:00:00"/>
    <s v="April"/>
    <s v="John Johnson"/>
    <s v="OK"/>
  </r>
  <r>
    <n v="571"/>
    <x v="2"/>
    <x v="3"/>
    <n v="0.316"/>
    <x v="2"/>
    <n v="22"/>
    <s v="Small"/>
    <x v="2"/>
    <n v="49.054586"/>
    <n v="22.413679999999999"/>
    <s v="Available"/>
    <x v="1"/>
    <d v="2024-04-08T00:00:00"/>
    <s v="April"/>
    <s v="John Johnson"/>
    <s v="OK"/>
  </r>
  <r>
    <n v="572"/>
    <x v="2"/>
    <x v="3"/>
    <n v="0.26500000000000001"/>
    <x v="2"/>
    <n v="18"/>
    <s v="Small"/>
    <x v="0"/>
    <n v="49.056946000000003"/>
    <n v="22.424916"/>
    <s v="Available"/>
    <x v="1"/>
    <d v="2024-04-08T00:00:00"/>
    <s v="April"/>
    <s v="John Johnson"/>
    <s v="OK"/>
  </r>
  <r>
    <n v="573"/>
    <x v="2"/>
    <x v="0"/>
    <n v="0.29599999999999999"/>
    <x v="2"/>
    <n v="22"/>
    <s v="Small"/>
    <x v="0"/>
    <n v="50.041497"/>
    <n v="19.950657"/>
    <s v="Available"/>
    <x v="1"/>
    <d v="2024-04-09T00:00:00"/>
    <s v="April"/>
    <s v="Anne Anthony"/>
    <s v="OK"/>
  </r>
  <r>
    <n v="574"/>
    <x v="2"/>
    <x v="1"/>
    <n v="0.25700000000000001"/>
    <x v="2"/>
    <n v="20"/>
    <s v="Small"/>
    <x v="2"/>
    <n v="47.509374999999999"/>
    <n v="18.939807999999999"/>
    <s v="Available"/>
    <x v="1"/>
    <d v="2024-04-09T00:00:00"/>
    <s v="April"/>
    <s v="Anne Anthony"/>
    <s v="OK"/>
  </r>
  <r>
    <n v="575"/>
    <x v="2"/>
    <x v="4"/>
    <n v="0.313"/>
    <x v="2"/>
    <n v="21"/>
    <s v="Small"/>
    <x v="0"/>
    <n v="49.937424999999998"/>
    <n v="14.182722999999999"/>
    <s v="Available"/>
    <x v="1"/>
    <d v="2024-04-09T00:00:00"/>
    <s v="April"/>
    <s v="John Johnson"/>
    <s v="OK"/>
  </r>
  <r>
    <n v="576"/>
    <x v="2"/>
    <x v="4"/>
    <n v="0.28199999999999997"/>
    <x v="2"/>
    <n v="19"/>
    <s v="Small"/>
    <x v="2"/>
    <n v="49.939072000000003"/>
    <n v="14.180063000000001"/>
    <s v="Available"/>
    <x v="1"/>
    <d v="2024-04-09T00:00:00"/>
    <s v="April"/>
    <s v="John Johnson"/>
    <s v="OK"/>
  </r>
  <r>
    <n v="577"/>
    <x v="0"/>
    <x v="0"/>
    <n v="486"/>
    <x v="0"/>
    <n v="235"/>
    <s v="Very Large"/>
    <x v="2"/>
    <n v="52.809086000000001"/>
    <n v="23.696425000000001"/>
    <s v="Available"/>
    <x v="1"/>
    <d v="2024-04-10T00:00:00"/>
    <s v="April"/>
    <s v="Anne Anthony"/>
    <s v="OK"/>
  </r>
  <r>
    <n v="578"/>
    <x v="1"/>
    <x v="0"/>
    <n v="22"/>
    <x v="1"/>
    <n v="78"/>
    <s v="Medium"/>
    <x v="0"/>
    <n v="52.821624999999997"/>
    <n v="23.818062999999999"/>
    <s v="Available"/>
    <x v="1"/>
    <d v="2024-04-10T00:00:00"/>
    <s v="April"/>
    <s v="Anne Anthony"/>
    <s v="OK"/>
  </r>
  <r>
    <n v="579"/>
    <x v="3"/>
    <x v="3"/>
    <n v="1.2"/>
    <x v="2"/>
    <n v="26"/>
    <s v="Small"/>
    <x v="0"/>
    <n v="48.409469000000001"/>
    <n v="18.861715"/>
    <s v="Available"/>
    <x v="1"/>
    <d v="2024-04-10T00:00:00"/>
    <s v="April"/>
    <s v="John Johnson"/>
    <s v="OK"/>
  </r>
  <r>
    <n v="580"/>
    <x v="2"/>
    <x v="4"/>
    <n v="0.25700000000000001"/>
    <x v="2"/>
    <n v="21"/>
    <s v="Small"/>
    <x v="0"/>
    <n v="50.107146999999998"/>
    <n v="14.347009"/>
    <s v="Available"/>
    <x v="1"/>
    <d v="2024-04-10T00:00:00"/>
    <s v="April"/>
    <s v="John Johnson"/>
    <s v="OK"/>
  </r>
  <r>
    <n v="581"/>
    <x v="0"/>
    <x v="0"/>
    <n v="610"/>
    <x v="0"/>
    <n v="281"/>
    <s v="Very Large"/>
    <x v="2"/>
    <n v="52.810988999999999"/>
    <n v="23.689136999999999"/>
    <s v="Available"/>
    <x v="1"/>
    <d v="2024-04-11T00:00:00"/>
    <s v="April"/>
    <s v="Anne Anthony"/>
    <s v="OK"/>
  </r>
  <r>
    <n v="582"/>
    <x v="3"/>
    <x v="1"/>
    <n v="0.8"/>
    <x v="2"/>
    <n v="17"/>
    <s v="Small"/>
    <x v="2"/>
    <n v="47.507080999999999"/>
    <n v="18.939062"/>
    <s v="Available"/>
    <x v="1"/>
    <d v="2024-04-11T00:00:00"/>
    <s v="April"/>
    <s v="Anne Anthony"/>
    <s v="OK"/>
  </r>
  <r>
    <n v="583"/>
    <x v="2"/>
    <x v="0"/>
    <n v="0.32500000000000001"/>
    <x v="2"/>
    <n v="20"/>
    <s v="Small"/>
    <x v="2"/>
    <n v="50.041347000000002"/>
    <n v="19.950773000000002"/>
    <s v="Available"/>
    <x v="1"/>
    <d v="2024-04-11T00:00:00"/>
    <s v="April"/>
    <s v="Anne Anthony"/>
    <s v="OK"/>
  </r>
  <r>
    <n v="584"/>
    <x v="2"/>
    <x v="1"/>
    <n v="0.27500000000000002"/>
    <x v="2"/>
    <n v="21"/>
    <s v="Small"/>
    <x v="2"/>
    <n v="47.506070999999999"/>
    <n v="18.949311000000002"/>
    <s v="Available"/>
    <x v="1"/>
    <d v="2024-04-11T00:00:00"/>
    <s v="April"/>
    <s v="Anne Anthony"/>
    <s v="OK"/>
  </r>
  <r>
    <n v="585"/>
    <x v="2"/>
    <x v="1"/>
    <n v="0.28499999999999998"/>
    <x v="2"/>
    <n v="20"/>
    <s v="Small"/>
    <x v="0"/>
    <n v="47.509655000000002"/>
    <n v="18.943576"/>
    <s v="Available"/>
    <x v="1"/>
    <d v="2024-04-11T00:00:00"/>
    <s v="April"/>
    <s v="Anne Anthony"/>
    <s v="OK"/>
  </r>
  <r>
    <n v="586"/>
    <x v="2"/>
    <x v="5"/>
    <n v="0.31"/>
    <x v="2"/>
    <n v="23"/>
    <s v="Small"/>
    <x v="0"/>
    <n v="47.856091999999997"/>
    <n v="15.083546999999999"/>
    <s v="Available"/>
    <x v="1"/>
    <d v="2024-04-11T00:00:00"/>
    <s v="April"/>
    <s v="Bob Bobson"/>
    <s v="OK"/>
  </r>
  <r>
    <n v="587"/>
    <x v="2"/>
    <x v="5"/>
    <n v="0.25600000000000001"/>
    <x v="2"/>
    <n v="19"/>
    <s v="Small"/>
    <x v="0"/>
    <n v="47.854875999999997"/>
    <n v="15.08295"/>
    <s v="Available"/>
    <x v="1"/>
    <d v="2024-04-11T00:00:00"/>
    <s v="April"/>
    <s v="Bob Bobson"/>
    <s v="OK"/>
  </r>
  <r>
    <n v="588"/>
    <x v="2"/>
    <x v="5"/>
    <n v="0.28499999999999998"/>
    <x v="2"/>
    <n v="23"/>
    <s v="Small"/>
    <x v="0"/>
    <n v="47.857534999999999"/>
    <n v="15.078082999999999"/>
    <s v="Available"/>
    <x v="1"/>
    <d v="2024-04-11T00:00:00"/>
    <s v="April"/>
    <s v="Bob Bobson"/>
    <s v="OK"/>
  </r>
  <r>
    <n v="589"/>
    <x v="2"/>
    <x v="2"/>
    <n v="0.30299999999999999"/>
    <x v="2"/>
    <n v="19"/>
    <s v="Small"/>
    <x v="2"/>
    <n v="48.162436999999997"/>
    <n v="11.494298000000001"/>
    <s v="Available"/>
    <x v="1"/>
    <d v="2024-04-11T00:00:00"/>
    <s v="April"/>
    <s v="Bob Bobson"/>
    <s v="OK"/>
  </r>
  <r>
    <n v="590"/>
    <x v="2"/>
    <x v="2"/>
    <n v="0.27300000000000002"/>
    <x v="2"/>
    <n v="19"/>
    <s v="Small"/>
    <x v="0"/>
    <n v="48.161105999999997"/>
    <n v="11.48991"/>
    <s v="Available"/>
    <x v="1"/>
    <d v="2024-04-11T00:00:00"/>
    <s v="April"/>
    <s v="Bob Bobson"/>
    <s v="OK"/>
  </r>
  <r>
    <n v="591"/>
    <x v="2"/>
    <x v="2"/>
    <n v="0.26700000000000002"/>
    <x v="2"/>
    <n v="22"/>
    <s v="Small"/>
    <x v="2"/>
    <n v="48.161385000000003"/>
    <n v="11.492571"/>
    <s v="Available"/>
    <x v="1"/>
    <d v="2024-04-11T00:00:00"/>
    <s v="April"/>
    <s v="Bob Bobson"/>
    <s v="OK"/>
  </r>
  <r>
    <n v="592"/>
    <x v="2"/>
    <x v="2"/>
    <n v="0.25800000000000001"/>
    <x v="2"/>
    <n v="20"/>
    <s v="Small"/>
    <x v="2"/>
    <n v="48.162137000000001"/>
    <n v="11.494415"/>
    <s v="Available"/>
    <x v="1"/>
    <d v="2024-04-11T00:00:00"/>
    <s v="April"/>
    <s v="Bob Bobson"/>
    <s v="OK"/>
  </r>
  <r>
    <n v="593"/>
    <x v="2"/>
    <x v="2"/>
    <n v="0.29599999999999999"/>
    <x v="2"/>
    <n v="18"/>
    <s v="Small"/>
    <x v="0"/>
    <n v="48.162162000000002"/>
    <n v="11.493917"/>
    <s v="Available"/>
    <x v="1"/>
    <d v="2024-04-11T00:00:00"/>
    <s v="April"/>
    <s v="Bob Bobson"/>
    <s v="OK"/>
  </r>
  <r>
    <n v="594"/>
    <x v="1"/>
    <x v="3"/>
    <n v="22"/>
    <x v="1"/>
    <n v="88"/>
    <s v="Medium"/>
    <x v="0"/>
    <n v="48.408549999999998"/>
    <n v="18.864934999999999"/>
    <s v="Available"/>
    <x v="1"/>
    <d v="2024-04-11T00:00:00"/>
    <s v="April"/>
    <s v="John Johnson"/>
    <s v="OK"/>
  </r>
  <r>
    <n v="595"/>
    <x v="2"/>
    <x v="4"/>
    <n v="0.308"/>
    <x v="2"/>
    <n v="22"/>
    <s v="Small"/>
    <x v="2"/>
    <n v="50.106721"/>
    <n v="14.346231"/>
    <s v="Available"/>
    <x v="1"/>
    <d v="2024-04-11T00:00:00"/>
    <s v="April"/>
    <s v="John Johnson"/>
    <s v="OK"/>
  </r>
  <r>
    <n v="596"/>
    <x v="0"/>
    <x v="0"/>
    <n v="853"/>
    <x v="0"/>
    <n v="287"/>
    <s v="Very Large"/>
    <x v="0"/>
    <n v="52.803559999999997"/>
    <n v="23.690377999999999"/>
    <s v="Available"/>
    <x v="1"/>
    <d v="2024-04-12T00:00:00"/>
    <s v="April"/>
    <s v="Anne Anthony"/>
    <s v="OK"/>
  </r>
  <r>
    <n v="597"/>
    <x v="2"/>
    <x v="2"/>
    <n v="0.30199999999999999"/>
    <x v="2"/>
    <n v="18"/>
    <s v="Small"/>
    <x v="2"/>
    <n v="48.160992"/>
    <n v="11.495374"/>
    <s v="Available"/>
    <x v="1"/>
    <d v="2024-04-12T00:00:00"/>
    <s v="April"/>
    <s v="Bob Bobson"/>
    <s v="OK"/>
  </r>
  <r>
    <n v="598"/>
    <x v="3"/>
    <x v="3"/>
    <n v="1"/>
    <x v="2"/>
    <n v="20"/>
    <s v="Small"/>
    <x v="2"/>
    <n v="48.408712999999999"/>
    <n v="18.863828999999999"/>
    <s v="Available"/>
    <x v="1"/>
    <d v="2024-04-12T00:00:00"/>
    <s v="April"/>
    <s v="John Johnson"/>
    <s v="OK"/>
  </r>
  <r>
    <n v="599"/>
    <x v="2"/>
    <x v="4"/>
    <n v="0.32500000000000001"/>
    <x v="2"/>
    <n v="21"/>
    <s v="Small"/>
    <x v="2"/>
    <n v="50.106482999999997"/>
    <n v="14.348191999999999"/>
    <s v="Available"/>
    <x v="1"/>
    <d v="2024-04-12T00:00:00"/>
    <s v="April"/>
    <s v="John Johnson"/>
    <s v="OK"/>
  </r>
  <r>
    <n v="600"/>
    <x v="3"/>
    <x v="1"/>
    <n v="1.2"/>
    <x v="2"/>
    <n v="23"/>
    <s v="Small"/>
    <x v="0"/>
    <n v="47.511266999999997"/>
    <n v="18.940190999999999"/>
    <s v="Available"/>
    <x v="1"/>
    <d v="2024-04-13T00:00:00"/>
    <s v="April"/>
    <s v="Anne Anthony"/>
    <s v="OK"/>
  </r>
  <r>
    <n v="601"/>
    <x v="2"/>
    <x v="0"/>
    <n v="0.26400000000000001"/>
    <x v="2"/>
    <n v="20"/>
    <s v="Small"/>
    <x v="0"/>
    <n v="50.041365999999996"/>
    <n v="19.949936000000001"/>
    <s v="Available"/>
    <x v="1"/>
    <d v="2024-04-13T00:00:00"/>
    <s v="April"/>
    <s v="Anne Anthony"/>
    <s v="OK"/>
  </r>
  <r>
    <n v="602"/>
    <x v="2"/>
    <x v="0"/>
    <n v="0.297366504854368"/>
    <x v="2"/>
    <n v="20.418848167539199"/>
    <s v="Small"/>
    <x v="0"/>
    <n v="50.041573"/>
    <n v="19.949850000000001"/>
    <s v="Available"/>
    <x v="1"/>
    <d v="2024-04-13T00:00:00"/>
    <s v="April"/>
    <s v="Anne Anthony"/>
    <s v="OK"/>
  </r>
  <r>
    <n v="603"/>
    <x v="2"/>
    <x v="0"/>
    <n v="0.32"/>
    <x v="2"/>
    <n v="23"/>
    <s v="Small"/>
    <x v="2"/>
    <n v="50.041553999999998"/>
    <n v="19.951129999999999"/>
    <s v="Available"/>
    <x v="1"/>
    <d v="2024-04-13T00:00:00"/>
    <s v="April"/>
    <s v="Anne Anthony"/>
    <s v="OK"/>
  </r>
  <r>
    <n v="604"/>
    <x v="2"/>
    <x v="0"/>
    <n v="0.29799999999999999"/>
    <x v="2"/>
    <n v="23"/>
    <s v="Small"/>
    <x v="0"/>
    <n v="52.211967000000001"/>
    <n v="21.032924000000001"/>
    <s v="Available"/>
    <x v="1"/>
    <d v="2024-04-13T00:00:00"/>
    <s v="April"/>
    <s v="Anne Anthony"/>
    <s v="OK"/>
  </r>
  <r>
    <n v="605"/>
    <x v="3"/>
    <x v="3"/>
    <n v="0.8"/>
    <x v="2"/>
    <n v="23"/>
    <s v="Small"/>
    <x v="0"/>
    <n v="48.412843000000002"/>
    <n v="18.872613999999999"/>
    <s v="Available"/>
    <x v="1"/>
    <d v="2024-04-13T00:00:00"/>
    <s v="April"/>
    <s v="John Johnson"/>
    <s v="OK"/>
  </r>
  <r>
    <n v="606"/>
    <x v="3"/>
    <x v="3"/>
    <n v="0.8"/>
    <x v="2"/>
    <n v="16"/>
    <s v="Small"/>
    <x v="0"/>
    <n v="48.407138000000003"/>
    <n v="18.867246999999999"/>
    <s v="Available"/>
    <x v="1"/>
    <d v="2024-04-13T00:00:00"/>
    <s v="April"/>
    <s v="John Johnson"/>
    <s v="OK"/>
  </r>
  <r>
    <n v="607"/>
    <x v="3"/>
    <x v="1"/>
    <n v="0.4"/>
    <x v="2"/>
    <n v="17"/>
    <s v="Small"/>
    <x v="2"/>
    <n v="47.509261000000002"/>
    <n v="18.949967000000001"/>
    <s v="Available"/>
    <x v="1"/>
    <d v="2024-04-14T00:00:00"/>
    <s v="April"/>
    <s v="Anne Anthony"/>
    <s v="OK"/>
  </r>
  <r>
    <n v="608"/>
    <x v="1"/>
    <x v="0"/>
    <n v="20"/>
    <x v="1"/>
    <n v="90"/>
    <s v="Medium"/>
    <x v="2"/>
    <n v="52.824607999999998"/>
    <n v="23.817395999999999"/>
    <s v="Available"/>
    <x v="1"/>
    <d v="2024-04-14T00:00:00"/>
    <s v="April"/>
    <s v="Anne Anthony"/>
    <s v="OK"/>
  </r>
  <r>
    <n v="609"/>
    <x v="2"/>
    <x v="1"/>
    <n v="0.29699999999999999"/>
    <x v="2"/>
    <n v="18"/>
    <s v="Small"/>
    <x v="0"/>
    <n v="47.506306000000002"/>
    <n v="18.946099"/>
    <s v="Available"/>
    <x v="1"/>
    <d v="2024-04-14T00:00:00"/>
    <s v="April"/>
    <s v="Anne Anthony"/>
    <s v="OK"/>
  </r>
  <r>
    <n v="610"/>
    <x v="2"/>
    <x v="1"/>
    <n v="0.308"/>
    <x v="2"/>
    <n v="20"/>
    <s v="Small"/>
    <x v="2"/>
    <n v="47.510067999999997"/>
    <n v="18.947175999999999"/>
    <s v="Available"/>
    <x v="1"/>
    <d v="2024-04-14T00:00:00"/>
    <s v="April"/>
    <s v="Anne Anthony"/>
    <s v="OK"/>
  </r>
  <r>
    <n v="611"/>
    <x v="2"/>
    <x v="1"/>
    <n v="0.26800000000000002"/>
    <x v="2"/>
    <n v="19"/>
    <s v="Small"/>
    <x v="0"/>
    <n v="47.511060000000001"/>
    <n v="18.939831999999999"/>
    <s v="Available"/>
    <x v="1"/>
    <d v="2024-04-14T00:00:00"/>
    <s v="April"/>
    <s v="Anne Anthony"/>
    <s v="OK"/>
  </r>
  <r>
    <n v="612"/>
    <x v="2"/>
    <x v="2"/>
    <n v="0.25900000000000001"/>
    <x v="2"/>
    <n v="22"/>
    <s v="Small"/>
    <x v="0"/>
    <n v="48.160831000000002"/>
    <n v="11.492402999999999"/>
    <s v="Available"/>
    <x v="1"/>
    <d v="2024-04-14T00:00:00"/>
    <s v="April"/>
    <s v="Bob Bobson"/>
    <s v="OK"/>
  </r>
  <r>
    <n v="613"/>
    <x v="0"/>
    <x v="0"/>
    <n v="700"/>
    <x v="0"/>
    <n v="286"/>
    <s v="Very Large"/>
    <x v="0"/>
    <n v="52.808503000000002"/>
    <n v="23.699369999999998"/>
    <s v="Available"/>
    <x v="1"/>
    <d v="2024-04-15T00:00:00"/>
    <s v="April"/>
    <s v="Anne Anthony"/>
    <s v="OK"/>
  </r>
  <r>
    <n v="614"/>
    <x v="3"/>
    <x v="1"/>
    <n v="0.7"/>
    <x v="2"/>
    <n v="15"/>
    <s v="Small"/>
    <x v="0"/>
    <n v="47.511426999999998"/>
    <n v="18.948713999999999"/>
    <s v="Available"/>
    <x v="1"/>
    <d v="2024-04-15T00:00:00"/>
    <s v="April"/>
    <s v="Anne Anthony"/>
    <s v="OK"/>
  </r>
  <r>
    <n v="615"/>
    <x v="2"/>
    <x v="0"/>
    <n v="0.27800000000000002"/>
    <x v="2"/>
    <n v="21"/>
    <s v="Small"/>
    <x v="2"/>
    <n v="52.211888000000002"/>
    <n v="21.032350000000001"/>
    <s v="Available"/>
    <x v="1"/>
    <d v="2024-04-15T00:00:00"/>
    <s v="April"/>
    <s v="Anne Anthony"/>
    <s v="OK"/>
  </r>
  <r>
    <n v="616"/>
    <x v="2"/>
    <x v="2"/>
    <n v="0.33900000000000002"/>
    <x v="2"/>
    <n v="19"/>
    <s v="Small"/>
    <x v="2"/>
    <n v="48.161422000000002"/>
    <n v="11.491813"/>
    <s v="Available"/>
    <x v="1"/>
    <d v="2024-04-15T00:00:00"/>
    <s v="April"/>
    <s v="Bob Bobson"/>
    <s v="OK"/>
  </r>
  <r>
    <n v="617"/>
    <x v="2"/>
    <x v="2"/>
    <n v="0.307"/>
    <x v="2"/>
    <n v="22"/>
    <s v="Small"/>
    <x v="0"/>
    <n v="48.160789999999999"/>
    <n v="11.489549"/>
    <s v="Available"/>
    <x v="1"/>
    <d v="2024-04-15T00:00:00"/>
    <s v="April"/>
    <s v="Bob Bobson"/>
    <s v="OK"/>
  </r>
  <r>
    <n v="618"/>
    <x v="2"/>
    <x v="2"/>
    <n v="0.25600000000000001"/>
    <x v="2"/>
    <n v="20"/>
    <s v="Small"/>
    <x v="2"/>
    <n v="48.161009"/>
    <n v="11.491557"/>
    <s v="Available"/>
    <x v="1"/>
    <d v="2024-04-15T00:00:00"/>
    <s v="April"/>
    <s v="Bob Bobson"/>
    <s v="OK"/>
  </r>
  <r>
    <n v="619"/>
    <x v="2"/>
    <x v="2"/>
    <n v="0.28999999999999998"/>
    <x v="2"/>
    <n v="20"/>
    <s v="Small"/>
    <x v="0"/>
    <n v="48.160806999999998"/>
    <n v="11.494218999999999"/>
    <s v="Available"/>
    <x v="1"/>
    <d v="2024-04-15T00:00:00"/>
    <s v="April"/>
    <s v="Bob Bobson"/>
    <s v="OK"/>
  </r>
  <r>
    <n v="620"/>
    <x v="2"/>
    <x v="2"/>
    <n v="0.32300000000000001"/>
    <x v="2"/>
    <n v="18"/>
    <s v="Small"/>
    <x v="2"/>
    <n v="48.161794"/>
    <n v="11.494325"/>
    <s v="Available"/>
    <x v="1"/>
    <d v="2024-04-15T00:00:00"/>
    <s v="April"/>
    <s v="Bob Bobson"/>
    <s v="OK"/>
  </r>
  <r>
    <n v="621"/>
    <x v="2"/>
    <x v="2"/>
    <n v="0.29299999999999998"/>
    <x v="2"/>
    <n v="21"/>
    <s v="Small"/>
    <x v="0"/>
    <n v="48.161068999999998"/>
    <n v="11.493029999999999"/>
    <s v="Available"/>
    <x v="1"/>
    <d v="2024-04-15T00:00:00"/>
    <s v="April"/>
    <s v="Bob Bobson"/>
    <s v="OK"/>
  </r>
  <r>
    <n v="622"/>
    <x v="2"/>
    <x v="2"/>
    <n v="0.32600000000000001"/>
    <x v="2"/>
    <n v="18"/>
    <s v="Small"/>
    <x v="2"/>
    <n v="48.160870000000003"/>
    <n v="11.490270000000001"/>
    <s v="Available"/>
    <x v="1"/>
    <d v="2024-04-15T00:00:00"/>
    <s v="April"/>
    <s v="Bob Bobson"/>
    <s v="OK"/>
  </r>
  <r>
    <n v="623"/>
    <x v="2"/>
    <x v="2"/>
    <n v="0.26600000000000001"/>
    <x v="2"/>
    <n v="21"/>
    <s v="Small"/>
    <x v="2"/>
    <n v="48.160559999999997"/>
    <n v="11.490805999999999"/>
    <s v="Available"/>
    <x v="1"/>
    <d v="2024-04-15T00:00:00"/>
    <s v="April"/>
    <s v="Bob Bobson"/>
    <s v="OK"/>
  </r>
  <r>
    <n v="624"/>
    <x v="3"/>
    <x v="3"/>
    <n v="0.5"/>
    <x v="2"/>
    <n v="18"/>
    <s v="Small"/>
    <x v="2"/>
    <n v="48.409908999999999"/>
    <n v="18.867006"/>
    <s v="Available"/>
    <x v="1"/>
    <d v="2024-04-15T00:00:00"/>
    <s v="April"/>
    <s v="John Johnson"/>
    <s v="OK"/>
  </r>
  <r>
    <n v="625"/>
    <x v="2"/>
    <x v="4"/>
    <n v="0.317"/>
    <x v="2"/>
    <n v="19"/>
    <s v="Small"/>
    <x v="0"/>
    <n v="50.106372999999998"/>
    <n v="14.347574"/>
    <s v="Available"/>
    <x v="1"/>
    <d v="2024-04-15T00:00:00"/>
    <s v="April"/>
    <s v="John Johnson"/>
    <s v="OK"/>
  </r>
  <r>
    <n v="626"/>
    <x v="3"/>
    <x v="1"/>
    <n v="0.5"/>
    <x v="2"/>
    <n v="19"/>
    <s v="Small"/>
    <x v="2"/>
    <n v="47.506430000000002"/>
    <n v="18.947911999999999"/>
    <s v="Available"/>
    <x v="1"/>
    <d v="2024-04-16T00:00:00"/>
    <s v="April"/>
    <s v="Anne Anthony"/>
    <s v="OK"/>
  </r>
  <r>
    <n v="627"/>
    <x v="3"/>
    <x v="1"/>
    <n v="0.6"/>
    <x v="2"/>
    <n v="15"/>
    <s v="Small"/>
    <x v="0"/>
    <n v="47.506663000000003"/>
    <n v="18.94032"/>
    <s v="Available"/>
    <x v="1"/>
    <d v="2024-04-16T00:00:00"/>
    <s v="April"/>
    <s v="Anne Anthony"/>
    <s v="OK"/>
  </r>
  <r>
    <n v="628"/>
    <x v="2"/>
    <x v="1"/>
    <n v="0.254"/>
    <x v="2"/>
    <n v="20"/>
    <s v="Small"/>
    <x v="2"/>
    <n v="47.508169000000002"/>
    <n v="18.947417999999999"/>
    <s v="Available"/>
    <x v="1"/>
    <d v="2024-04-16T00:00:00"/>
    <s v="April"/>
    <s v="Anne Anthony"/>
    <s v="OK"/>
  </r>
  <r>
    <n v="629"/>
    <x v="2"/>
    <x v="2"/>
    <n v="0.313"/>
    <x v="2"/>
    <n v="19"/>
    <s v="Small"/>
    <x v="0"/>
    <n v="48.161901999999998"/>
    <n v="11.494579999999999"/>
    <s v="Available"/>
    <x v="1"/>
    <d v="2024-04-16T00:00:00"/>
    <s v="April"/>
    <s v="Bob Bobson"/>
    <s v="OK"/>
  </r>
  <r>
    <n v="630"/>
    <x v="2"/>
    <x v="2"/>
    <n v="0.2"/>
    <x v="2"/>
    <n v="14"/>
    <s v="Small"/>
    <x v="0"/>
    <n v="49.554765000000003"/>
    <n v="11.0922"/>
    <s v="Available"/>
    <x v="1"/>
    <d v="2024-04-16T00:00:00"/>
    <s v="April"/>
    <s v="Bob Bobson"/>
    <s v="OK"/>
  </r>
  <r>
    <n v="631"/>
    <x v="2"/>
    <x v="2"/>
    <n v="0.27800000000000002"/>
    <x v="2"/>
    <n v="18"/>
    <s v="Small"/>
    <x v="2"/>
    <n v="49.558466000000003"/>
    <n v="11.096048"/>
    <s v="Available"/>
    <x v="1"/>
    <d v="2024-04-16T00:00:00"/>
    <s v="April"/>
    <s v="Bob Bobson"/>
    <s v="OK"/>
  </r>
  <r>
    <n v="632"/>
    <x v="3"/>
    <x v="3"/>
    <n v="0.6"/>
    <x v="2"/>
    <n v="25"/>
    <s v="Small"/>
    <x v="0"/>
    <n v="48.407604999999997"/>
    <n v="18.876341"/>
    <s v="Available"/>
    <x v="1"/>
    <d v="2024-04-16T00:00:00"/>
    <s v="April"/>
    <s v="John Johnson"/>
    <s v="OK"/>
  </r>
  <r>
    <n v="633"/>
    <x v="2"/>
    <x v="0"/>
    <n v="0.29799999999999999"/>
    <x v="2"/>
    <n v="19"/>
    <s v="Small"/>
    <x v="2"/>
    <n v="52.212378999999999"/>
    <n v="21.032913000000001"/>
    <s v="Available"/>
    <x v="1"/>
    <d v="2024-04-17T00:00:00"/>
    <s v="April"/>
    <s v="Anne Anthony"/>
    <s v="OK"/>
  </r>
  <r>
    <n v="634"/>
    <x v="3"/>
    <x v="2"/>
    <n v="0.7"/>
    <x v="2"/>
    <n v="21"/>
    <s v="Small"/>
    <x v="0"/>
    <n v="49.556052000000001"/>
    <n v="11.081500999999999"/>
    <s v="Available"/>
    <x v="1"/>
    <d v="2024-04-17T00:00:00"/>
    <s v="April"/>
    <s v="Bob Bobson"/>
    <s v="OK"/>
  </r>
  <r>
    <n v="635"/>
    <x v="3"/>
    <x v="2"/>
    <n v="1.2"/>
    <x v="2"/>
    <n v="28"/>
    <s v="Small"/>
    <x v="0"/>
    <n v="49.551519999999996"/>
    <n v="11.079537"/>
    <s v="Available"/>
    <x v="1"/>
    <d v="2024-04-17T00:00:00"/>
    <s v="April"/>
    <s v="Bob Bobson"/>
    <s v="OK"/>
  </r>
  <r>
    <n v="636"/>
    <x v="3"/>
    <x v="2"/>
    <n v="0.5"/>
    <x v="2"/>
    <n v="18"/>
    <s v="Small"/>
    <x v="2"/>
    <n v="49.553736999999998"/>
    <n v="11.087705"/>
    <s v="Available"/>
    <x v="1"/>
    <d v="2024-04-17T00:00:00"/>
    <s v="April"/>
    <s v="Bob Bobson"/>
    <s v="OK"/>
  </r>
  <r>
    <n v="637"/>
    <x v="3"/>
    <x v="2"/>
    <n v="1"/>
    <x v="2"/>
    <n v="20"/>
    <s v="Small"/>
    <x v="0"/>
    <n v="49.560442000000002"/>
    <n v="11.098395"/>
    <s v="Available"/>
    <x v="1"/>
    <d v="2024-04-17T00:00:00"/>
    <s v="April"/>
    <s v="Bob Bobson"/>
    <s v="OK"/>
  </r>
  <r>
    <n v="638"/>
    <x v="3"/>
    <x v="2"/>
    <n v="0.9"/>
    <x v="2"/>
    <n v="25"/>
    <s v="Small"/>
    <x v="0"/>
    <n v="49.560723000000003"/>
    <n v="11.084667"/>
    <s v="Available"/>
    <x v="1"/>
    <d v="2024-04-17T00:00:00"/>
    <s v="April"/>
    <s v="Bob Bobson"/>
    <s v="OK"/>
  </r>
  <r>
    <n v="639"/>
    <x v="3"/>
    <x v="2"/>
    <n v="0.4"/>
    <x v="2"/>
    <n v="16"/>
    <s v="Small"/>
    <x v="2"/>
    <n v="49.558790000000002"/>
    <n v="11.081218"/>
    <s v="Available"/>
    <x v="1"/>
    <d v="2024-04-17T00:00:00"/>
    <s v="April"/>
    <s v="Bob Bobson"/>
    <s v="OK"/>
  </r>
  <r>
    <n v="640"/>
    <x v="2"/>
    <x v="2"/>
    <n v="0.29399999999999998"/>
    <x v="2"/>
    <n v="20"/>
    <s v="Small"/>
    <x v="0"/>
    <n v="49.545856999999998"/>
    <n v="11.076254"/>
    <s v="Available"/>
    <x v="1"/>
    <d v="2024-04-17T00:00:00"/>
    <s v="April"/>
    <s v="Bob Bobson"/>
    <s v="OK"/>
  </r>
  <r>
    <n v="641"/>
    <x v="2"/>
    <x v="2"/>
    <n v="0.3"/>
    <x v="2"/>
    <n v="23"/>
    <s v="Small"/>
    <x v="2"/>
    <n v="49.554684999999999"/>
    <n v="11.083449999999999"/>
    <s v="Available"/>
    <x v="1"/>
    <d v="2024-04-17T00:00:00"/>
    <s v="April"/>
    <s v="Bob Bobson"/>
    <s v="OK"/>
  </r>
  <r>
    <n v="642"/>
    <x v="3"/>
    <x v="3"/>
    <n v="1.1000000000000001"/>
    <x v="2"/>
    <n v="23"/>
    <s v="Small"/>
    <x v="0"/>
    <n v="48.186112000000001"/>
    <n v="17.090491"/>
    <s v="Available"/>
    <x v="1"/>
    <d v="2024-04-17T00:00:00"/>
    <s v="April"/>
    <s v="John Johnson"/>
    <s v="OK"/>
  </r>
  <r>
    <n v="643"/>
    <x v="1"/>
    <x v="3"/>
    <n v="27"/>
    <x v="1"/>
    <n v="100"/>
    <s v="Large"/>
    <x v="0"/>
    <n v="48.411116999999997"/>
    <n v="18.862265000000001"/>
    <s v="Available"/>
    <x v="1"/>
    <d v="2024-04-17T00:00:00"/>
    <s v="April"/>
    <s v="John Johnson"/>
    <s v="OK"/>
  </r>
  <r>
    <n v="644"/>
    <x v="2"/>
    <x v="4"/>
    <n v="0.28299999999999997"/>
    <x v="2"/>
    <n v="22"/>
    <s v="Small"/>
    <x v="2"/>
    <n v="50.106413000000003"/>
    <n v="14.348204000000001"/>
    <s v="Available"/>
    <x v="1"/>
    <d v="2024-04-17T00:00:00"/>
    <s v="April"/>
    <s v="John Johnson"/>
    <s v="OK"/>
  </r>
  <r>
    <n v="645"/>
    <x v="2"/>
    <x v="4"/>
    <n v="0.28000000000000003"/>
    <x v="2"/>
    <n v="22"/>
    <s v="Small"/>
    <x v="2"/>
    <n v="50.107135"/>
    <n v="14.348205999999999"/>
    <s v="Available"/>
    <x v="1"/>
    <d v="2024-04-17T00:00:00"/>
    <s v="April"/>
    <s v="John Johnson"/>
    <s v="OK"/>
  </r>
  <r>
    <n v="646"/>
    <x v="0"/>
    <x v="0"/>
    <n v="405"/>
    <x v="0"/>
    <n v="220"/>
    <s v="Very Large"/>
    <x v="2"/>
    <n v="52.804031000000002"/>
    <n v="23.683032000000001"/>
    <s v="Available"/>
    <x v="1"/>
    <d v="2024-04-18T00:00:00"/>
    <s v="April"/>
    <s v="Anne Anthony"/>
    <s v="OK"/>
  </r>
  <r>
    <n v="647"/>
    <x v="3"/>
    <x v="2"/>
    <n v="1"/>
    <x v="2"/>
    <n v="24"/>
    <s v="Small"/>
    <x v="0"/>
    <n v="49.561056999999998"/>
    <n v="11.084334"/>
    <s v="Available"/>
    <x v="1"/>
    <d v="2024-04-18T00:00:00"/>
    <s v="April"/>
    <s v="Bob Bobson"/>
    <s v="OK"/>
  </r>
  <r>
    <n v="648"/>
    <x v="3"/>
    <x v="2"/>
    <n v="0.6"/>
    <x v="2"/>
    <n v="11"/>
    <s v="Small"/>
    <x v="0"/>
    <n v="49.557054999999998"/>
    <n v="11.101996"/>
    <s v="Available"/>
    <x v="1"/>
    <d v="2024-04-18T00:00:00"/>
    <s v="April"/>
    <s v="Bob Bobson"/>
    <s v="OK"/>
  </r>
  <r>
    <n v="649"/>
    <x v="3"/>
    <x v="2"/>
    <n v="0.7"/>
    <x v="2"/>
    <n v="25"/>
    <s v="Small"/>
    <x v="0"/>
    <n v="49.554133"/>
    <n v="11.089674"/>
    <s v="Available"/>
    <x v="1"/>
    <d v="2024-04-18T00:00:00"/>
    <s v="April"/>
    <s v="Bob Bobson"/>
    <s v="OK"/>
  </r>
  <r>
    <n v="650"/>
    <x v="3"/>
    <x v="2"/>
    <n v="0.6"/>
    <x v="2"/>
    <n v="22"/>
    <s v="Small"/>
    <x v="2"/>
    <n v="49.561174000000001"/>
    <n v="11.102216"/>
    <s v="Available"/>
    <x v="1"/>
    <d v="2024-04-18T00:00:00"/>
    <s v="April"/>
    <s v="Bob Bobson"/>
    <s v="OK"/>
  </r>
  <r>
    <n v="651"/>
    <x v="3"/>
    <x v="2"/>
    <n v="0.5"/>
    <x v="2"/>
    <n v="20"/>
    <s v="Small"/>
    <x v="0"/>
    <n v="49.563085000000001"/>
    <n v="11.101392000000001"/>
    <s v="Available"/>
    <x v="1"/>
    <d v="2024-04-18T00:00:00"/>
    <s v="April"/>
    <s v="Bob Bobson"/>
    <s v="OK"/>
  </r>
  <r>
    <n v="652"/>
    <x v="3"/>
    <x v="2"/>
    <n v="0.9"/>
    <x v="2"/>
    <n v="25"/>
    <s v="Small"/>
    <x v="0"/>
    <n v="49.551318000000002"/>
    <n v="11.085475000000001"/>
    <s v="Available"/>
    <x v="1"/>
    <d v="2024-04-18T00:00:00"/>
    <s v="April"/>
    <s v="Bob Bobson"/>
    <s v="OK"/>
  </r>
  <r>
    <n v="653"/>
    <x v="3"/>
    <x v="2"/>
    <n v="0.5"/>
    <x v="2"/>
    <n v="16"/>
    <s v="Small"/>
    <x v="2"/>
    <n v="49.556237000000003"/>
    <n v="11.088639000000001"/>
    <s v="Available"/>
    <x v="1"/>
    <d v="2024-04-18T00:00:00"/>
    <s v="April"/>
    <s v="Bob Bobson"/>
    <s v="OK"/>
  </r>
  <r>
    <n v="654"/>
    <x v="3"/>
    <x v="2"/>
    <n v="0.8"/>
    <x v="2"/>
    <n v="17"/>
    <s v="Small"/>
    <x v="0"/>
    <n v="49.545768000000002"/>
    <n v="11.086385999999999"/>
    <s v="Available"/>
    <x v="1"/>
    <d v="2024-04-18T00:00:00"/>
    <s v="April"/>
    <s v="Bob Bobson"/>
    <s v="OK"/>
  </r>
  <r>
    <n v="655"/>
    <x v="2"/>
    <x v="4"/>
    <n v="0.32600000000000001"/>
    <x v="2"/>
    <n v="23"/>
    <s v="Small"/>
    <x v="0"/>
    <n v="50.107312999999998"/>
    <n v="14.348552"/>
    <s v="Available"/>
    <x v="1"/>
    <d v="2024-04-18T00:00:00"/>
    <s v="April"/>
    <s v="John Johnson"/>
    <s v="OK"/>
  </r>
  <r>
    <n v="656"/>
    <x v="0"/>
    <x v="0"/>
    <n v="662"/>
    <x v="0"/>
    <n v="244"/>
    <s v="Very Large"/>
    <x v="2"/>
    <n v="52.809106"/>
    <n v="23.680095000000001"/>
    <s v="Available"/>
    <x v="1"/>
    <d v="2024-04-19T00:00:00"/>
    <s v="April"/>
    <s v="Anne Anthony"/>
    <s v="OK"/>
  </r>
  <r>
    <n v="657"/>
    <x v="2"/>
    <x v="0"/>
    <n v="0.34100000000000003"/>
    <x v="2"/>
    <n v="23"/>
    <s v="Small"/>
    <x v="0"/>
    <n v="52.212041999999997"/>
    <n v="21.033491999999999"/>
    <s v="Available"/>
    <x v="1"/>
    <d v="2024-04-19T00:00:00"/>
    <s v="April"/>
    <s v="Anne Anthony"/>
    <s v="OK"/>
  </r>
  <r>
    <n v="658"/>
    <x v="3"/>
    <x v="5"/>
    <n v="0.6"/>
    <x v="2"/>
    <n v="17"/>
    <s v="Small"/>
    <x v="2"/>
    <n v="47.319578999999997"/>
    <n v="11.186061"/>
    <s v="Available"/>
    <x v="1"/>
    <d v="2024-04-19T00:00:00"/>
    <s v="April"/>
    <s v="Bob Bobson"/>
    <s v="OK"/>
  </r>
  <r>
    <n v="659"/>
    <x v="3"/>
    <x v="5"/>
    <n v="0.9"/>
    <x v="2"/>
    <n v="25"/>
    <s v="Small"/>
    <x v="0"/>
    <n v="47.317974"/>
    <n v="11.187472"/>
    <s v="Available"/>
    <x v="1"/>
    <d v="2024-04-19T00:00:00"/>
    <s v="April"/>
    <s v="Bob Bobson"/>
    <s v="OK"/>
  </r>
  <r>
    <n v="660"/>
    <x v="3"/>
    <x v="5"/>
    <n v="1.1000000000000001"/>
    <x v="2"/>
    <n v="22"/>
    <s v="Small"/>
    <x v="0"/>
    <n v="47.316561999999998"/>
    <n v="11.19116"/>
    <s v="Available"/>
    <x v="1"/>
    <d v="2024-04-19T00:00:00"/>
    <s v="April"/>
    <s v="Bob Bobson"/>
    <s v="OK"/>
  </r>
  <r>
    <n v="661"/>
    <x v="3"/>
    <x v="5"/>
    <n v="1.2"/>
    <x v="2"/>
    <n v="24"/>
    <s v="Small"/>
    <x v="0"/>
    <n v="47.318190999999999"/>
    <n v="11.189484"/>
    <s v="Available"/>
    <x v="1"/>
    <d v="2024-04-19T00:00:00"/>
    <s v="April"/>
    <s v="Bob Bobson"/>
    <s v="OK"/>
  </r>
  <r>
    <n v="662"/>
    <x v="0"/>
    <x v="4"/>
    <n v="656"/>
    <x v="0"/>
    <n v="245"/>
    <s v="Very Large"/>
    <x v="2"/>
    <n v="50.643056000000001"/>
    <n v="14.843037000000001"/>
    <s v="Available"/>
    <x v="1"/>
    <d v="2024-04-19T00:00:00"/>
    <s v="April"/>
    <s v="John Johnson"/>
    <s v="OK"/>
  </r>
  <r>
    <n v="663"/>
    <x v="3"/>
    <x v="3"/>
    <n v="1.1000000000000001"/>
    <x v="2"/>
    <n v="19"/>
    <s v="Small"/>
    <x v="2"/>
    <n v="48.187522000000001"/>
    <n v="17.087250999999998"/>
    <s v="Available"/>
    <x v="1"/>
    <d v="2024-04-19T00:00:00"/>
    <s v="April"/>
    <s v="John Johnson"/>
    <s v="OK"/>
  </r>
  <r>
    <n v="664"/>
    <x v="3"/>
    <x v="3"/>
    <n v="1.1000000000000001"/>
    <x v="2"/>
    <n v="29"/>
    <s v="Small"/>
    <x v="0"/>
    <n v="48.185406"/>
    <n v="17.084534999999999"/>
    <s v="Available"/>
    <x v="1"/>
    <d v="2024-04-19T00:00:00"/>
    <s v="April"/>
    <s v="John Johnson"/>
    <s v="OK"/>
  </r>
  <r>
    <n v="665"/>
    <x v="1"/>
    <x v="4"/>
    <n v="12"/>
    <x v="2"/>
    <n v="52"/>
    <s v="Medium"/>
    <x v="0"/>
    <n v="50.882931999999997"/>
    <n v="14.367993"/>
    <s v="Available"/>
    <x v="1"/>
    <d v="2024-04-19T00:00:00"/>
    <s v="April"/>
    <s v="John Johnson"/>
    <s v="OK"/>
  </r>
  <r>
    <n v="666"/>
    <x v="1"/>
    <x v="3"/>
    <n v="24"/>
    <x v="1"/>
    <n v="81"/>
    <s v="Medium"/>
    <x v="2"/>
    <n v="48.408549000000001"/>
    <n v="18.87396"/>
    <s v="Available"/>
    <x v="1"/>
    <d v="2024-04-19T00:00:00"/>
    <s v="April"/>
    <s v="John Johnson"/>
    <s v="OK"/>
  </r>
  <r>
    <n v="667"/>
    <x v="1"/>
    <x v="4"/>
    <n v="22"/>
    <x v="1"/>
    <n v="83"/>
    <s v="Medium"/>
    <x v="2"/>
    <n v="50.882924000000003"/>
    <n v="14.368207"/>
    <s v="Available"/>
    <x v="1"/>
    <d v="2024-04-19T00:00:00"/>
    <s v="April"/>
    <s v="John Johnson"/>
    <s v="OK"/>
  </r>
  <r>
    <n v="668"/>
    <x v="2"/>
    <x v="0"/>
    <n v="0.32700000000000001"/>
    <x v="2"/>
    <n v="23"/>
    <s v="Small"/>
    <x v="0"/>
    <n v="52.212167999999998"/>
    <n v="21.032304"/>
    <s v="Available"/>
    <x v="1"/>
    <d v="2024-04-20T00:00:00"/>
    <s v="April"/>
    <s v="Anne Anthony"/>
    <s v="OK"/>
  </r>
  <r>
    <n v="669"/>
    <x v="2"/>
    <x v="0"/>
    <n v="0.33700000000000002"/>
    <x v="2"/>
    <n v="24"/>
    <s v="Small"/>
    <x v="2"/>
    <n v="52.211796999999997"/>
    <n v="21.033750000000001"/>
    <s v="Available"/>
    <x v="2"/>
    <d v="2024-04-20T00:00:00"/>
    <s v="April"/>
    <s v="Anne Anthony"/>
    <s v="OK"/>
  </r>
  <r>
    <n v="670"/>
    <x v="2"/>
    <x v="0"/>
    <n v="0.318"/>
    <x v="2"/>
    <n v="24"/>
    <s v="Small"/>
    <x v="0"/>
    <n v="52.212470000000003"/>
    <n v="21.033642"/>
    <s v="Available"/>
    <x v="1"/>
    <d v="2024-04-20T00:00:00"/>
    <s v="April"/>
    <s v="Anne Anthony"/>
    <s v="OK"/>
  </r>
  <r>
    <n v="671"/>
    <x v="2"/>
    <x v="0"/>
    <n v="0.33"/>
    <x v="2"/>
    <n v="23"/>
    <s v="Small"/>
    <x v="0"/>
    <n v="52.211872"/>
    <n v="21.032295999999999"/>
    <s v="Available"/>
    <x v="9"/>
    <d v="2024-04-20T00:00:00"/>
    <s v="April"/>
    <s v="Anne Anthony"/>
    <s v="OK"/>
  </r>
  <r>
    <n v="672"/>
    <x v="0"/>
    <x v="0"/>
    <n v="776"/>
    <x v="0"/>
    <n v="294"/>
    <s v="Very Large"/>
    <x v="0"/>
    <n v="52.805298999999998"/>
    <n v="23.701093"/>
    <s v="Available"/>
    <x v="1"/>
    <d v="2024-04-21T00:00:00"/>
    <s v="April"/>
    <s v="Anne Anthony"/>
    <s v="OK"/>
  </r>
  <r>
    <n v="673"/>
    <x v="3"/>
    <x v="3"/>
    <n v="0.8"/>
    <x v="2"/>
    <n v="18"/>
    <s v="Small"/>
    <x v="0"/>
    <n v="48.186208000000001"/>
    <n v="17.089749000000001"/>
    <s v="Available"/>
    <x v="1"/>
    <d v="2024-04-21T00:00:00"/>
    <s v="April"/>
    <s v="John Johnson"/>
    <s v="OK"/>
  </r>
  <r>
    <n v="674"/>
    <x v="2"/>
    <x v="0"/>
    <n v="0.30599999999999999"/>
    <x v="2"/>
    <n v="19"/>
    <s v="Small"/>
    <x v="2"/>
    <n v="52.212605000000003"/>
    <n v="21.033877"/>
    <s v="Available"/>
    <x v="1"/>
    <d v="2024-04-22T00:00:00"/>
    <s v="April"/>
    <s v="Anne Anthony"/>
    <s v="OK"/>
  </r>
  <r>
    <n v="675"/>
    <x v="2"/>
    <x v="0"/>
    <n v="0.34899999999999998"/>
    <x v="2"/>
    <n v="20"/>
    <s v="Small"/>
    <x v="2"/>
    <n v="52.212001000000001"/>
    <n v="21.033902999999999"/>
    <s v="Available"/>
    <x v="1"/>
    <d v="2024-04-22T00:00:00"/>
    <s v="April"/>
    <s v="Anne Anthony"/>
    <s v="OK"/>
  </r>
  <r>
    <n v="676"/>
    <x v="1"/>
    <x v="4"/>
    <n v="23"/>
    <x v="1"/>
    <n v="78"/>
    <s v="Medium"/>
    <x v="0"/>
    <n v="50.882931999999997"/>
    <n v="14.366823999999999"/>
    <s v="Available"/>
    <x v="1"/>
    <d v="2024-04-22T00:00:00"/>
    <s v="April"/>
    <s v="John Johnson"/>
    <s v="OK"/>
  </r>
  <r>
    <n v="677"/>
    <x v="3"/>
    <x v="3"/>
    <n v="0.7"/>
    <x v="2"/>
    <n v="16"/>
    <s v="Small"/>
    <x v="0"/>
    <n v="48.184230999999997"/>
    <n v="17.091694"/>
    <s v="Available"/>
    <x v="1"/>
    <d v="2024-04-23T00:00:00"/>
    <s v="April"/>
    <s v="John Johnson"/>
    <s v="OK"/>
  </r>
  <r>
    <n v="678"/>
    <x v="0"/>
    <x v="0"/>
    <n v="650"/>
    <x v="0"/>
    <n v="286"/>
    <s v="Very Large"/>
    <x v="2"/>
    <n v="52.812486"/>
    <n v="23.686230999999999"/>
    <s v="Available"/>
    <x v="1"/>
    <d v="2024-04-24T00:00:00"/>
    <s v="April"/>
    <s v="Anne Anthony"/>
    <s v="OK"/>
  </r>
  <r>
    <n v="679"/>
    <x v="2"/>
    <x v="0"/>
    <n v="0.27100000000000002"/>
    <x v="2"/>
    <n v="19"/>
    <s v="Small"/>
    <x v="2"/>
    <n v="52.211796999999997"/>
    <n v="21.032857"/>
    <s v="Available"/>
    <x v="1"/>
    <d v="2024-04-24T00:00:00"/>
    <s v="April"/>
    <s v="Anne Anthony"/>
    <s v="OK"/>
  </r>
  <r>
    <n v="680"/>
    <x v="2"/>
    <x v="0"/>
    <n v="0.32900000000000001"/>
    <x v="2"/>
    <n v="24"/>
    <s v="Small"/>
    <x v="2"/>
    <n v="52.212045000000003"/>
    <n v="21.031986"/>
    <s v="Available"/>
    <x v="1"/>
    <d v="2024-04-24T00:00:00"/>
    <s v="April"/>
    <s v="Anne Anthony"/>
    <s v="OK"/>
  </r>
  <r>
    <n v="681"/>
    <x v="1"/>
    <x v="5"/>
    <n v="20"/>
    <x v="1"/>
    <n v="90"/>
    <s v="Medium"/>
    <x v="0"/>
    <n v="47.781188"/>
    <n v="14.385356"/>
    <s v="Available"/>
    <x v="1"/>
    <d v="2024-04-24T00:00:00"/>
    <s v="April"/>
    <s v="Bob Bobson"/>
    <s v="OK"/>
  </r>
  <r>
    <n v="682"/>
    <x v="1"/>
    <x v="5"/>
    <n v="26"/>
    <x v="1"/>
    <n v="91"/>
    <s v="Medium"/>
    <x v="2"/>
    <n v="47.780999000000001"/>
    <n v="14.38212"/>
    <s v="Available"/>
    <x v="1"/>
    <d v="2024-04-24T00:00:00"/>
    <s v="April"/>
    <s v="Bob Bobson"/>
    <s v="OK"/>
  </r>
  <r>
    <n v="683"/>
    <x v="3"/>
    <x v="3"/>
    <n v="0.6"/>
    <x v="2"/>
    <n v="15"/>
    <s v="Small"/>
    <x v="2"/>
    <n v="48.185648"/>
    <n v="17.083763000000001"/>
    <s v="Available"/>
    <x v="1"/>
    <d v="2024-04-24T00:00:00"/>
    <s v="April"/>
    <s v="John Johnson"/>
    <s v="OK"/>
  </r>
  <r>
    <n v="684"/>
    <x v="1"/>
    <x v="0"/>
    <n v="14"/>
    <x v="2"/>
    <n v="65"/>
    <s v="Medium"/>
    <x v="2"/>
    <n v="52.851841"/>
    <n v="23.891580000000001"/>
    <s v="Available"/>
    <x v="1"/>
    <d v="2024-04-25T00:00:00"/>
    <s v="April"/>
    <s v="Anne Anthony"/>
    <s v="OK"/>
  </r>
  <r>
    <n v="685"/>
    <x v="2"/>
    <x v="0"/>
    <n v="0.311"/>
    <x v="2"/>
    <n v="21"/>
    <s v="Small"/>
    <x v="0"/>
    <n v="52.212203000000002"/>
    <n v="21.032278999999999"/>
    <s v="Available"/>
    <x v="1"/>
    <d v="2024-04-25T00:00:00"/>
    <s v="April"/>
    <s v="Anne Anthony"/>
    <s v="OK"/>
  </r>
  <r>
    <n v="686"/>
    <x v="3"/>
    <x v="3"/>
    <n v="0.7"/>
    <x v="2"/>
    <n v="16"/>
    <s v="Small"/>
    <x v="0"/>
    <n v="48.185433000000003"/>
    <n v="17.086216"/>
    <s v="Available"/>
    <x v="1"/>
    <d v="2024-04-26T00:00:00"/>
    <s v="April"/>
    <s v="John Johnson"/>
    <s v="OK"/>
  </r>
  <r>
    <n v="687"/>
    <x v="2"/>
    <x v="0"/>
    <n v="0.28999999999999998"/>
    <x v="2"/>
    <n v="24"/>
    <s v="Small"/>
    <x v="2"/>
    <n v="52.212763000000002"/>
    <n v="21.032786000000002"/>
    <s v="Available"/>
    <x v="1"/>
    <d v="2024-04-27T00:00:00"/>
    <s v="April"/>
    <s v="Anne Anthony"/>
    <s v="OK"/>
  </r>
  <r>
    <n v="688"/>
    <x v="3"/>
    <x v="3"/>
    <n v="1.2"/>
    <x v="2"/>
    <n v="22"/>
    <s v="Small"/>
    <x v="0"/>
    <n v="48.186912999999997"/>
    <n v="17.088173999999999"/>
    <s v="Available"/>
    <x v="1"/>
    <d v="2024-04-27T00:00:00"/>
    <s v="April"/>
    <s v="John Johnson"/>
    <s v="OK"/>
  </r>
  <r>
    <n v="689"/>
    <x v="3"/>
    <x v="3"/>
    <n v="0.7"/>
    <x v="2"/>
    <n v="24"/>
    <s v="Small"/>
    <x v="2"/>
    <n v="48.185648999999998"/>
    <n v="17.088833999999999"/>
    <s v="Available"/>
    <x v="1"/>
    <d v="2024-04-27T00:00:00"/>
    <s v="April"/>
    <s v="John Johnson"/>
    <s v="OK"/>
  </r>
  <r>
    <n v="690"/>
    <x v="1"/>
    <x v="0"/>
    <n v="12"/>
    <x v="2"/>
    <n v="52"/>
    <s v="Medium"/>
    <x v="0"/>
    <n v="52.848213999999999"/>
    <n v="23.891978000000002"/>
    <s v="Available"/>
    <x v="1"/>
    <d v="2024-04-28T00:00:00"/>
    <s v="April"/>
    <s v="Anne Anthony"/>
    <s v="OK"/>
  </r>
  <r>
    <n v="691"/>
    <x v="1"/>
    <x v="0"/>
    <n v="27"/>
    <x v="1"/>
    <n v="95"/>
    <s v="Medium"/>
    <x v="2"/>
    <n v="52.853842999999998"/>
    <n v="23.919668000000001"/>
    <s v="Available"/>
    <x v="1"/>
    <d v="2024-04-28T00:00:00"/>
    <s v="April"/>
    <s v="Anne Anthony"/>
    <s v="OK"/>
  </r>
  <r>
    <n v="692"/>
    <x v="2"/>
    <x v="0"/>
    <n v="0.312"/>
    <x v="2"/>
    <n v="23"/>
    <s v="Small"/>
    <x v="0"/>
    <n v="52.212119999999999"/>
    <n v="21.034268000000001"/>
    <s v="Available"/>
    <x v="1"/>
    <d v="2024-04-28T00:00:00"/>
    <s v="April"/>
    <s v="Anne Anthony"/>
    <s v="OK"/>
  </r>
  <r>
    <n v="693"/>
    <x v="3"/>
    <x v="2"/>
    <n v="0.5"/>
    <x v="2"/>
    <n v="20"/>
    <s v="Small"/>
    <x v="0"/>
    <n v="49.553240000000002"/>
    <n v="11.074007999999999"/>
    <s v="Available"/>
    <x v="1"/>
    <d v="2024-04-28T00:00:00"/>
    <s v="April"/>
    <s v="Bob Bobson"/>
    <s v="OK"/>
  </r>
  <r>
    <n v="694"/>
    <x v="3"/>
    <x v="2"/>
    <n v="1.1000000000000001"/>
    <x v="2"/>
    <n v="20"/>
    <s v="Small"/>
    <x v="2"/>
    <n v="49.551561999999997"/>
    <n v="11.081737"/>
    <s v="Available"/>
    <x v="1"/>
    <d v="2024-04-28T00:00:00"/>
    <s v="April"/>
    <s v="Bob Bobson"/>
    <s v="OK"/>
  </r>
  <r>
    <n v="695"/>
    <x v="3"/>
    <x v="2"/>
    <n v="0.6"/>
    <x v="2"/>
    <n v="18"/>
    <s v="Small"/>
    <x v="0"/>
    <n v="49.547376"/>
    <n v="11.079529000000001"/>
    <s v="Available"/>
    <x v="1"/>
    <d v="2024-04-28T00:00:00"/>
    <s v="April"/>
    <s v="Bob Bobson"/>
    <s v="OK"/>
  </r>
  <r>
    <n v="696"/>
    <x v="3"/>
    <x v="2"/>
    <n v="0.8"/>
    <x v="2"/>
    <n v="20"/>
    <s v="Small"/>
    <x v="0"/>
    <n v="49.560178000000001"/>
    <n v="11.093259"/>
    <s v="Available"/>
    <x v="1"/>
    <d v="2024-04-28T00:00:00"/>
    <s v="April"/>
    <s v="Bob Bobson"/>
    <s v="OK"/>
  </r>
  <r>
    <n v="697"/>
    <x v="3"/>
    <x v="2"/>
    <n v="0.8"/>
    <x v="2"/>
    <n v="19"/>
    <s v="Small"/>
    <x v="0"/>
    <n v="49.558968"/>
    <n v="11.106642000000001"/>
    <s v="Available"/>
    <x v="1"/>
    <d v="2024-04-28T00:00:00"/>
    <s v="April"/>
    <s v="Bob Bobson"/>
    <s v="OK"/>
  </r>
  <r>
    <n v="698"/>
    <x v="3"/>
    <x v="3"/>
    <n v="0.9"/>
    <x v="2"/>
    <n v="20"/>
    <s v="Small"/>
    <x v="0"/>
    <n v="48.186369999999997"/>
    <n v="17.090384"/>
    <s v="Available"/>
    <x v="1"/>
    <d v="2024-04-28T00:00:00"/>
    <s v="April"/>
    <s v="John Johnson"/>
    <s v="OK"/>
  </r>
  <r>
    <n v="699"/>
    <x v="3"/>
    <x v="1"/>
    <n v="0.6"/>
    <x v="2"/>
    <n v="16"/>
    <s v="Small"/>
    <x v="2"/>
    <n v="47.506034999999997"/>
    <n v="18.944527999999998"/>
    <s v="Available"/>
    <x v="1"/>
    <d v="2024-04-29T00:00:00"/>
    <s v="April"/>
    <s v="Anne Anthony"/>
    <s v="OK"/>
  </r>
  <r>
    <n v="700"/>
    <x v="2"/>
    <x v="0"/>
    <n v="0.27"/>
    <x v="2"/>
    <n v="21"/>
    <s v="Small"/>
    <x v="2"/>
    <n v="52.212389999999999"/>
    <n v="21.034548000000001"/>
    <s v="Available"/>
    <x v="2"/>
    <d v="2024-04-29T00:00:00"/>
    <s v="April"/>
    <s v="Anne Anthony"/>
    <s v="OK"/>
  </r>
  <r>
    <n v="701"/>
    <x v="3"/>
    <x v="3"/>
    <n v="1.1000000000000001"/>
    <x v="2"/>
    <n v="23"/>
    <s v="Small"/>
    <x v="0"/>
    <n v="48.183847999999998"/>
    <n v="17.082806000000001"/>
    <s v="Available"/>
    <x v="1"/>
    <d v="2024-04-29T00:00:00"/>
    <s v="April"/>
    <s v="John Johnson"/>
    <s v="OK"/>
  </r>
  <r>
    <n v="702"/>
    <x v="1"/>
    <x v="3"/>
    <n v="22"/>
    <x v="1"/>
    <n v="73"/>
    <s v="Medium"/>
    <x v="0"/>
    <n v="48.410550999999998"/>
    <n v="18.864865999999999"/>
    <s v="Available"/>
    <x v="1"/>
    <d v="2024-04-29T00:00:00"/>
    <s v="April"/>
    <s v="John Johnson"/>
    <s v="OK"/>
  </r>
  <r>
    <n v="703"/>
    <x v="2"/>
    <x v="0"/>
    <n v="0.29199999999999998"/>
    <x v="2"/>
    <n v="20"/>
    <s v="Small"/>
    <x v="2"/>
    <n v="52.212432999999997"/>
    <n v="21.032495999999998"/>
    <s v="Available"/>
    <x v="1"/>
    <d v="2024-04-30T00:00:00"/>
    <s v="April"/>
    <s v="Anne Anthony"/>
    <s v="OK"/>
  </r>
  <r>
    <n v="704"/>
    <x v="2"/>
    <x v="0"/>
    <n v="0.30499999999999999"/>
    <x v="2"/>
    <n v="19"/>
    <s v="Small"/>
    <x v="2"/>
    <n v="52.212746000000003"/>
    <n v="21.033832"/>
    <s v="Available"/>
    <x v="1"/>
    <d v="2024-05-09T00:00:00"/>
    <s v="May"/>
    <s v="Anne Anthony"/>
    <s v="OK"/>
  </r>
  <r>
    <n v="705"/>
    <x v="3"/>
    <x v="3"/>
    <n v="0.7"/>
    <x v="2"/>
    <n v="22"/>
    <s v="Small"/>
    <x v="0"/>
    <n v="48.232759999999999"/>
    <n v="17.069049"/>
    <s v="Available"/>
    <x v="1"/>
    <d v="2024-05-09T00:00:00"/>
    <s v="May"/>
    <s v="John Johnson"/>
    <s v="OK"/>
  </r>
  <r>
    <n v="706"/>
    <x v="3"/>
    <x v="1"/>
    <n v="0.7"/>
    <x v="2"/>
    <n v="16"/>
    <s v="Small"/>
    <x v="0"/>
    <n v="47.509594999999997"/>
    <n v="18.939751000000001"/>
    <s v="Available"/>
    <x v="1"/>
    <d v="2024-05-10T00:00:00"/>
    <s v="May"/>
    <s v="Anne Anthony"/>
    <s v="OK"/>
  </r>
  <r>
    <n v="707"/>
    <x v="3"/>
    <x v="1"/>
    <n v="1"/>
    <x v="2"/>
    <n v="20"/>
    <s v="Small"/>
    <x v="0"/>
    <n v="47.511301000000003"/>
    <n v="18.93974"/>
    <s v="Available"/>
    <x v="1"/>
    <d v="2024-05-10T00:00:00"/>
    <s v="May"/>
    <s v="Anne Anthony"/>
    <s v="OK"/>
  </r>
  <r>
    <n v="708"/>
    <x v="2"/>
    <x v="0"/>
    <n v="0.26400000000000001"/>
    <x v="2"/>
    <n v="21"/>
    <s v="Small"/>
    <x v="0"/>
    <n v="52.212147999999999"/>
    <n v="21.033421000000001"/>
    <s v="Available"/>
    <x v="1"/>
    <d v="2024-05-11T00:00:00"/>
    <s v="May"/>
    <s v="Anne Anthony"/>
    <s v="OK"/>
  </r>
  <r>
    <n v="709"/>
    <x v="3"/>
    <x v="2"/>
    <n v="0.7"/>
    <x v="2"/>
    <n v="24"/>
    <s v="Small"/>
    <x v="0"/>
    <n v="49.560229999999997"/>
    <n v="11.102233"/>
    <s v="Available"/>
    <x v="1"/>
    <d v="2024-05-11T00:00:00"/>
    <s v="May"/>
    <s v="Bob Bobson"/>
    <s v="OK"/>
  </r>
  <r>
    <n v="710"/>
    <x v="3"/>
    <x v="2"/>
    <n v="1.1000000000000001"/>
    <x v="2"/>
    <n v="19"/>
    <s v="Small"/>
    <x v="2"/>
    <n v="49.548409999999997"/>
    <n v="11.078249"/>
    <s v="Available"/>
    <x v="1"/>
    <d v="2024-05-11T00:00:00"/>
    <s v="May"/>
    <s v="Bob Bobson"/>
    <s v="OK"/>
  </r>
  <r>
    <n v="711"/>
    <x v="3"/>
    <x v="3"/>
    <n v="0.8"/>
    <x v="2"/>
    <n v="24"/>
    <s v="Small"/>
    <x v="2"/>
    <n v="48.239628000000003"/>
    <n v="17.087298000000001"/>
    <s v="Available"/>
    <x v="1"/>
    <d v="2024-05-11T00:00:00"/>
    <s v="May"/>
    <s v="John Johnson"/>
    <s v="OK"/>
  </r>
  <r>
    <n v="712"/>
    <x v="3"/>
    <x v="1"/>
    <n v="1"/>
    <x v="2"/>
    <n v="23"/>
    <s v="Small"/>
    <x v="2"/>
    <n v="47.507376000000001"/>
    <n v="18.939599999999999"/>
    <s v="Available"/>
    <x v="1"/>
    <d v="2024-05-12T00:00:00"/>
    <s v="May"/>
    <s v="Anne Anthony"/>
    <s v="OK"/>
  </r>
  <r>
    <n v="713"/>
    <x v="2"/>
    <x v="0"/>
    <n v="0.26600000000000001"/>
    <x v="2"/>
    <n v="20"/>
    <s v="Small"/>
    <x v="0"/>
    <n v="52.212429"/>
    <n v="21.032435"/>
    <s v="Available"/>
    <x v="1"/>
    <d v="2024-05-12T00:00:00"/>
    <s v="May"/>
    <s v="Anne Anthony"/>
    <s v="OK"/>
  </r>
  <r>
    <n v="714"/>
    <x v="3"/>
    <x v="3"/>
    <n v="0.5"/>
    <x v="2"/>
    <n v="19"/>
    <s v="Small"/>
    <x v="0"/>
    <n v="48.231938999999997"/>
    <n v="17.087688"/>
    <s v="Available"/>
    <x v="1"/>
    <d v="2024-05-12T00:00:00"/>
    <s v="May"/>
    <s v="John Johnson"/>
    <s v="OK"/>
  </r>
  <r>
    <n v="715"/>
    <x v="2"/>
    <x v="0"/>
    <n v="0.26600000000000001"/>
    <x v="2"/>
    <n v="21"/>
    <s v="Small"/>
    <x v="2"/>
    <n v="52.21284"/>
    <n v="21.034376999999999"/>
    <s v="Available"/>
    <x v="1"/>
    <d v="2024-05-13T00:00:00"/>
    <s v="May"/>
    <s v="Anne Anthony"/>
    <s v="OK"/>
  </r>
  <r>
    <n v="716"/>
    <x v="2"/>
    <x v="0"/>
    <n v="0.317"/>
    <x v="2"/>
    <n v="20"/>
    <s v="Small"/>
    <x v="2"/>
    <n v="52.212162999999997"/>
    <n v="21.032633000000001"/>
    <s v="Available"/>
    <x v="1"/>
    <d v="2024-05-13T00:00:00"/>
    <s v="May"/>
    <s v="Anne Anthony"/>
    <s v="OK"/>
  </r>
  <r>
    <n v="717"/>
    <x v="3"/>
    <x v="3"/>
    <n v="1"/>
    <x v="2"/>
    <n v="18"/>
    <s v="Small"/>
    <x v="0"/>
    <n v="48.225014000000002"/>
    <n v="17.081448999999999"/>
    <s v="Available"/>
    <x v="1"/>
    <d v="2024-05-13T00:00:00"/>
    <s v="May"/>
    <s v="John Johnson"/>
    <s v="OK"/>
  </r>
  <r>
    <n v="718"/>
    <x v="3"/>
    <x v="1"/>
    <n v="0.6"/>
    <x v="2"/>
    <n v="17"/>
    <s v="Small"/>
    <x v="2"/>
    <n v="47.506310999999997"/>
    <n v="18.947371"/>
    <s v="Available"/>
    <x v="1"/>
    <d v="2024-05-14T00:00:00"/>
    <s v="May"/>
    <s v="Anne Anthony"/>
    <s v="OK"/>
  </r>
  <r>
    <n v="719"/>
    <x v="2"/>
    <x v="0"/>
    <n v="0.27"/>
    <x v="2"/>
    <n v="23"/>
    <s v="Small"/>
    <x v="2"/>
    <n v="52.212553"/>
    <n v="21.032768000000001"/>
    <s v="Available"/>
    <x v="1"/>
    <d v="2024-05-14T00:00:00"/>
    <s v="May"/>
    <s v="Anne Anthony"/>
    <s v="OK"/>
  </r>
  <r>
    <n v="720"/>
    <x v="3"/>
    <x v="3"/>
    <n v="0.7"/>
    <x v="2"/>
    <n v="22"/>
    <s v="Small"/>
    <x v="2"/>
    <n v="48.225116"/>
    <n v="17.086407999999999"/>
    <s v="Available"/>
    <x v="1"/>
    <d v="2024-05-14T00:00:00"/>
    <s v="May"/>
    <s v="John Johnson"/>
    <s v="OK"/>
  </r>
  <r>
    <n v="721"/>
    <x v="2"/>
    <x v="0"/>
    <n v="0.27900000000000003"/>
    <x v="2"/>
    <n v="22"/>
    <s v="Small"/>
    <x v="0"/>
    <n v="52.212411000000003"/>
    <n v="21.033173000000001"/>
    <s v="Available"/>
    <x v="1"/>
    <d v="2024-05-15T00:00:00"/>
    <s v="May"/>
    <s v="Anne Anthony"/>
    <s v="OK"/>
  </r>
  <r>
    <n v="722"/>
    <x v="3"/>
    <x v="1"/>
    <n v="1"/>
    <x v="2"/>
    <n v="18"/>
    <s v="Small"/>
    <x v="2"/>
    <n v="47.507019"/>
    <n v="18.944015"/>
    <s v="Available"/>
    <x v="1"/>
    <d v="2024-05-16T00:00:00"/>
    <s v="May"/>
    <s v="Anne Anthony"/>
    <s v="OK"/>
  </r>
  <r>
    <n v="723"/>
    <x v="3"/>
    <x v="3"/>
    <n v="0.4"/>
    <x v="2"/>
    <n v="13"/>
    <s v="Small"/>
    <x v="0"/>
    <n v="48.237386000000001"/>
    <n v="17.078351999999999"/>
    <s v="Available"/>
    <x v="1"/>
    <d v="2024-05-16T00:00:00"/>
    <s v="May"/>
    <s v="John Johnson"/>
    <s v="OK"/>
  </r>
  <r>
    <n v="724"/>
    <x v="3"/>
    <x v="1"/>
    <n v="0.84565217391304304"/>
    <x v="2"/>
    <n v="20.985294117647001"/>
    <s v="Small"/>
    <x v="0"/>
    <n v="47.510077000000003"/>
    <n v="18.945646"/>
    <s v="Available"/>
    <x v="1"/>
    <d v="2024-05-17T00:00:00"/>
    <s v="May"/>
    <s v="Anne Anthony"/>
    <s v="OK"/>
  </r>
  <r>
    <n v="725"/>
    <x v="3"/>
    <x v="1"/>
    <n v="0.7"/>
    <x v="2"/>
    <n v="11"/>
    <s v="Small"/>
    <x v="2"/>
    <n v="47.507758000000003"/>
    <n v="18.949223"/>
    <s v="Available"/>
    <x v="1"/>
    <d v="2024-05-17T00:00:00"/>
    <s v="May"/>
    <s v="Anne Anthony"/>
    <s v="OK"/>
  </r>
  <r>
    <n v="726"/>
    <x v="2"/>
    <x v="0"/>
    <n v="0.28000000000000003"/>
    <x v="2"/>
    <n v="19"/>
    <s v="Small"/>
    <x v="2"/>
    <n v="52.212541999999999"/>
    <n v="21.033829000000001"/>
    <s v="Available"/>
    <x v="1"/>
    <d v="2024-05-17T00:00:00"/>
    <s v="May"/>
    <s v="Anne Anthony"/>
    <s v="OK"/>
  </r>
  <r>
    <n v="727"/>
    <x v="2"/>
    <x v="0"/>
    <n v="0.26"/>
    <x v="2"/>
    <n v="19"/>
    <s v="Small"/>
    <x v="0"/>
    <n v="52.212628000000002"/>
    <n v="21.034493999999999"/>
    <s v="Available"/>
    <x v="1"/>
    <d v="2024-05-17T00:00:00"/>
    <s v="May"/>
    <s v="Anne Anthony"/>
    <s v="OK"/>
  </r>
  <r>
    <n v="728"/>
    <x v="2"/>
    <x v="0"/>
    <n v="0.29399999999999998"/>
    <x v="2"/>
    <n v="24"/>
    <s v="Small"/>
    <x v="2"/>
    <n v="52.212940000000003"/>
    <n v="21.034208"/>
    <s v="Available"/>
    <x v="1"/>
    <d v="2024-05-17T00:00:00"/>
    <s v="May"/>
    <s v="Anne Anthony"/>
    <s v="OK"/>
  </r>
  <r>
    <n v="729"/>
    <x v="3"/>
    <x v="3"/>
    <n v="0.6"/>
    <x v="2"/>
    <n v="20"/>
    <s v="Small"/>
    <x v="0"/>
    <n v="48.235981000000002"/>
    <n v="17.081697999999999"/>
    <s v="Available"/>
    <x v="1"/>
    <d v="2024-05-17T00:00:00"/>
    <s v="May"/>
    <s v="John Johnson"/>
    <s v="OK"/>
  </r>
  <r>
    <n v="730"/>
    <x v="3"/>
    <x v="3"/>
    <n v="0.8"/>
    <x v="2"/>
    <n v="16"/>
    <s v="Small"/>
    <x v="2"/>
    <n v="48.234929999999999"/>
    <n v="17.084813"/>
    <s v="Available"/>
    <x v="1"/>
    <d v="2024-05-17T00:00:00"/>
    <s v="May"/>
    <s v="John Johnson"/>
    <s v="OK"/>
  </r>
  <r>
    <n v="731"/>
    <x v="1"/>
    <x v="3"/>
    <n v="18"/>
    <x v="2"/>
    <n v="76"/>
    <s v="Medium"/>
    <x v="0"/>
    <n v="48.412723999999997"/>
    <n v="18.868877999999999"/>
    <s v="Available"/>
    <x v="1"/>
    <d v="2024-05-17T00:00:00"/>
    <s v="May"/>
    <s v="John Johnson"/>
    <s v="OK"/>
  </r>
  <r>
    <n v="732"/>
    <x v="2"/>
    <x v="0"/>
    <n v="0.30599999999999999"/>
    <x v="2"/>
    <n v="21"/>
    <s v="Small"/>
    <x v="0"/>
    <n v="52.211896000000003"/>
    <n v="21.033805999999998"/>
    <s v="Available"/>
    <x v="1"/>
    <d v="2024-05-18T00:00:00"/>
    <s v="May"/>
    <s v="Anne Anthony"/>
    <s v="OK"/>
  </r>
  <r>
    <n v="733"/>
    <x v="2"/>
    <x v="0"/>
    <n v="0.27700000000000002"/>
    <x v="2"/>
    <n v="22"/>
    <s v="Small"/>
    <x v="0"/>
    <n v="52.211924000000003"/>
    <n v="21.033242999999999"/>
    <s v="Available"/>
    <x v="1"/>
    <d v="2024-05-18T00:00:00"/>
    <s v="May"/>
    <s v="Anne Anthony"/>
    <s v="OK"/>
  </r>
  <r>
    <n v="734"/>
    <x v="3"/>
    <x v="1"/>
    <n v="1.1000000000000001"/>
    <x v="2"/>
    <n v="22"/>
    <s v="Small"/>
    <x v="2"/>
    <n v="47.510584000000001"/>
    <n v="18.94173"/>
    <s v="Available"/>
    <x v="1"/>
    <d v="2024-05-19T00:00:00"/>
    <s v="May"/>
    <s v="Anne Anthony"/>
    <s v="OK"/>
  </r>
  <r>
    <n v="735"/>
    <x v="3"/>
    <x v="3"/>
    <n v="0.6"/>
    <x v="2"/>
    <n v="19"/>
    <s v="Small"/>
    <x v="2"/>
    <n v="48.236604999999997"/>
    <n v="17.071494999999999"/>
    <s v="Available"/>
    <x v="1"/>
    <d v="2024-05-19T00:00:00"/>
    <s v="May"/>
    <s v="John Johnson"/>
    <s v="OK"/>
  </r>
  <r>
    <n v="736"/>
    <x v="1"/>
    <x v="3"/>
    <n v="22"/>
    <x v="1"/>
    <n v="85"/>
    <s v="Medium"/>
    <x v="0"/>
    <n v="48.411436000000002"/>
    <n v="18.86478"/>
    <s v="Available"/>
    <x v="1"/>
    <d v="2024-05-19T00:00:00"/>
    <s v="May"/>
    <s v="John Johnson"/>
    <s v="OK"/>
  </r>
  <r>
    <n v="737"/>
    <x v="2"/>
    <x v="0"/>
    <n v="0.34100000000000003"/>
    <x v="2"/>
    <n v="21"/>
    <s v="Small"/>
    <x v="2"/>
    <n v="52.212294999999997"/>
    <n v="21.034039"/>
    <s v="Available"/>
    <x v="1"/>
    <d v="2024-05-20T00:00:00"/>
    <s v="May"/>
    <s v="Anne Anthony"/>
    <s v="OK"/>
  </r>
  <r>
    <n v="738"/>
    <x v="2"/>
    <x v="0"/>
    <n v="0.33800000000000002"/>
    <x v="2"/>
    <n v="22"/>
    <s v="Small"/>
    <x v="2"/>
    <n v="52.212915000000002"/>
    <n v="21.033225999999999"/>
    <s v="Available"/>
    <x v="1"/>
    <d v="2024-05-21T00:00:00"/>
    <s v="May"/>
    <s v="Anne Anthony"/>
    <s v="OK"/>
  </r>
  <r>
    <n v="739"/>
    <x v="2"/>
    <x v="0"/>
    <n v="0.311"/>
    <x v="2"/>
    <n v="19"/>
    <s v="Small"/>
    <x v="2"/>
    <n v="52.212600999999999"/>
    <n v="21.032613000000001"/>
    <s v="Available"/>
    <x v="1"/>
    <d v="2024-05-21T00:00:00"/>
    <s v="May"/>
    <s v="Anne Anthony"/>
    <s v="OK"/>
  </r>
  <r>
    <n v="740"/>
    <x v="3"/>
    <x v="3"/>
    <n v="1.2"/>
    <x v="2"/>
    <n v="25"/>
    <s v="Small"/>
    <x v="0"/>
    <n v="48.231496999999997"/>
    <n v="17.073128000000001"/>
    <s v="Available"/>
    <x v="1"/>
    <d v="2024-05-21T00:00:00"/>
    <s v="May"/>
    <s v="John Johnson"/>
    <s v="OK"/>
  </r>
  <r>
    <n v="741"/>
    <x v="3"/>
    <x v="3"/>
    <n v="0.4"/>
    <x v="2"/>
    <n v="16"/>
    <s v="Small"/>
    <x v="2"/>
    <n v="48.238633999999998"/>
    <n v="17.074895000000001"/>
    <s v="Available"/>
    <x v="1"/>
    <d v="2024-05-21T00:00:00"/>
    <s v="May"/>
    <s v="John Johnson"/>
    <s v="OK"/>
  </r>
  <r>
    <n v="742"/>
    <x v="2"/>
    <x v="0"/>
    <n v="0.308"/>
    <x v="2"/>
    <n v="23"/>
    <s v="Small"/>
    <x v="0"/>
    <n v="52.212245000000003"/>
    <n v="21.032988"/>
    <s v="Available"/>
    <x v="1"/>
    <d v="2024-05-22T00:00:00"/>
    <s v="May"/>
    <s v="Anne Anthony"/>
    <s v="OK"/>
  </r>
  <r>
    <n v="743"/>
    <x v="2"/>
    <x v="0"/>
    <n v="0.308"/>
    <x v="2"/>
    <n v="22"/>
    <s v="Small"/>
    <x v="2"/>
    <n v="52.212583000000002"/>
    <n v="21.032931999999999"/>
    <s v="Available"/>
    <x v="1"/>
    <d v="2024-05-22T00:00:00"/>
    <s v="May"/>
    <s v="Anne Anthony"/>
    <s v="OK"/>
  </r>
  <r>
    <n v="744"/>
    <x v="2"/>
    <x v="0"/>
    <n v="0.28999999999999998"/>
    <x v="2"/>
    <n v="23"/>
    <s v="Small"/>
    <x v="0"/>
    <n v="52.212065000000003"/>
    <n v="21.034571"/>
    <s v="Available"/>
    <x v="1"/>
    <d v="2024-05-23T00:00:00"/>
    <s v="May"/>
    <s v="Anne Anthony"/>
    <s v="OK"/>
  </r>
  <r>
    <n v="745"/>
    <x v="3"/>
    <x v="3"/>
    <n v="0.5"/>
    <x v="2"/>
    <n v="16"/>
    <s v="Small"/>
    <x v="0"/>
    <n v="48.231214000000001"/>
    <n v="17.084105000000001"/>
    <s v="Available"/>
    <x v="1"/>
    <d v="2024-05-23T00:00:00"/>
    <s v="May"/>
    <s v="John Johnson"/>
    <s v="OK"/>
  </r>
  <r>
    <n v="746"/>
    <x v="1"/>
    <x v="4"/>
    <n v="21"/>
    <x v="1"/>
    <n v="91"/>
    <s v="Medium"/>
    <x v="2"/>
    <n v="50.881878"/>
    <n v="14.371969"/>
    <s v="Available"/>
    <x v="1"/>
    <d v="2024-05-23T00:00:00"/>
    <s v="May"/>
    <s v="John Johnson"/>
    <s v="OK"/>
  </r>
  <r>
    <n v="747"/>
    <x v="2"/>
    <x v="0"/>
    <n v="0.34599999999999997"/>
    <x v="2"/>
    <n v="22"/>
    <s v="Small"/>
    <x v="2"/>
    <n v="52.212305000000001"/>
    <n v="21.033920999999999"/>
    <s v="Available"/>
    <x v="1"/>
    <d v="2024-05-24T00:00:00"/>
    <s v="May"/>
    <s v="Anne Anthony"/>
    <s v="OK"/>
  </r>
  <r>
    <n v="748"/>
    <x v="3"/>
    <x v="3"/>
    <n v="0.7"/>
    <x v="2"/>
    <n v="20"/>
    <s v="Small"/>
    <x v="2"/>
    <n v="48.231411000000001"/>
    <n v="17.075483999999999"/>
    <s v="Available"/>
    <x v="1"/>
    <d v="2024-05-24T00:00:00"/>
    <s v="May"/>
    <s v="John Johnson"/>
    <s v="OK"/>
  </r>
  <r>
    <n v="749"/>
    <x v="2"/>
    <x v="0"/>
    <n v="0.297366504854368"/>
    <x v="2"/>
    <n v="20.418848167539199"/>
    <s v="Small"/>
    <x v="0"/>
    <n v="52.212905999999997"/>
    <n v="21.03321"/>
    <s v="Available"/>
    <x v="1"/>
    <d v="2024-05-25T00:00:00"/>
    <s v="May"/>
    <s v="Anne Anthony"/>
    <s v="OK"/>
  </r>
  <r>
    <n v="750"/>
    <x v="2"/>
    <x v="0"/>
    <n v="0.32700000000000001"/>
    <x v="2"/>
    <n v="24"/>
    <s v="Small"/>
    <x v="2"/>
    <n v="52.822110000000002"/>
    <n v="23.814402999999999"/>
    <s v="Available"/>
    <x v="1"/>
    <d v="2024-05-26T00:00:00"/>
    <s v="May"/>
    <s v="Anne Anthony"/>
    <s v="OK"/>
  </r>
  <r>
    <n v="751"/>
    <x v="3"/>
    <x v="3"/>
    <n v="0.8"/>
    <x v="2"/>
    <n v="18"/>
    <s v="Small"/>
    <x v="0"/>
    <n v="48.237588000000002"/>
    <n v="17.090344000000002"/>
    <s v="Available"/>
    <x v="1"/>
    <d v="2024-05-26T00:00:00"/>
    <s v="May"/>
    <s v="John Johnson"/>
    <s v="OK"/>
  </r>
  <r>
    <n v="752"/>
    <x v="3"/>
    <x v="3"/>
    <n v="0.7"/>
    <x v="2"/>
    <n v="18"/>
    <s v="Small"/>
    <x v="2"/>
    <n v="48.232774999999997"/>
    <n v="17.070226000000002"/>
    <s v="Available"/>
    <x v="1"/>
    <d v="2024-05-27T00:00:00"/>
    <s v="May"/>
    <s v="John Johnson"/>
    <s v="OK"/>
  </r>
  <r>
    <n v="753"/>
    <x v="2"/>
    <x v="0"/>
    <n v="0.27400000000000002"/>
    <x v="2"/>
    <n v="23"/>
    <s v="Small"/>
    <x v="0"/>
    <n v="52.821630999999996"/>
    <n v="23.813638000000001"/>
    <s v="Available"/>
    <x v="1"/>
    <d v="2024-05-28T00:00:00"/>
    <s v="May"/>
    <s v="Anne Anthony"/>
    <s v="OK"/>
  </r>
  <r>
    <n v="754"/>
    <x v="2"/>
    <x v="0"/>
    <n v="0.31"/>
    <x v="2"/>
    <n v="19"/>
    <s v="Small"/>
    <x v="2"/>
    <n v="52.821523999999997"/>
    <n v="23.817036999999999"/>
    <s v="Available"/>
    <x v="2"/>
    <d v="2024-05-29T00:00:00"/>
    <s v="May"/>
    <s v="Anne Anthony"/>
    <s v="OK"/>
  </r>
  <r>
    <n v="755"/>
    <x v="3"/>
    <x v="3"/>
    <n v="0.8"/>
    <x v="2"/>
    <n v="18"/>
    <s v="Small"/>
    <x v="0"/>
    <n v="48.226889999999997"/>
    <n v="17.084025"/>
    <s v="Available"/>
    <x v="1"/>
    <d v="2024-05-29T00:00:00"/>
    <s v="May"/>
    <s v="John Johnson"/>
    <s v="OK"/>
  </r>
  <r>
    <n v="756"/>
    <x v="1"/>
    <x v="3"/>
    <n v="25"/>
    <x v="1"/>
    <n v="101"/>
    <s v="Large"/>
    <x v="2"/>
    <n v="48.412941000000004"/>
    <n v="18.863683999999999"/>
    <s v="Available"/>
    <x v="1"/>
    <d v="2024-05-29T00:00:00"/>
    <s v="May"/>
    <s v="John Johnson"/>
    <s v="OK"/>
  </r>
  <r>
    <n v="757"/>
    <x v="3"/>
    <x v="3"/>
    <n v="0.6"/>
    <x v="2"/>
    <n v="18"/>
    <s v="Small"/>
    <x v="2"/>
    <n v="48.237124000000001"/>
    <n v="17.085811"/>
    <s v="Available"/>
    <x v="1"/>
    <d v="2024-05-30T00:00:00"/>
    <s v="May"/>
    <s v="John Johnson"/>
    <s v="OK"/>
  </r>
  <r>
    <n v="758"/>
    <x v="2"/>
    <x v="0"/>
    <n v="0.315"/>
    <x v="2"/>
    <n v="24"/>
    <s v="Small"/>
    <x v="2"/>
    <n v="52.822949999999999"/>
    <n v="23.812750000000001"/>
    <s v="Available"/>
    <x v="1"/>
    <d v="2024-05-31T00:00:00"/>
    <s v="May"/>
    <s v="Anne Anthony"/>
    <s v="OK"/>
  </r>
  <r>
    <n v="759"/>
    <x v="2"/>
    <x v="0"/>
    <n v="0.29299999999999998"/>
    <x v="2"/>
    <n v="22"/>
    <s v="Small"/>
    <x v="2"/>
    <n v="52.820813000000001"/>
    <n v="23.809086000000001"/>
    <s v="Available"/>
    <x v="1"/>
    <d v="2024-05-31T00:00:00"/>
    <s v="May"/>
    <s v="Anne Anthony"/>
    <s v="OK"/>
  </r>
  <r>
    <n v="760"/>
    <x v="2"/>
    <x v="0"/>
    <n v="0.30199999999999999"/>
    <x v="2"/>
    <n v="24"/>
    <s v="Small"/>
    <x v="0"/>
    <n v="52.825792999999997"/>
    <n v="23.811067999999999"/>
    <s v="Available"/>
    <x v="1"/>
    <d v="2024-05-31T00:00:00"/>
    <s v="May"/>
    <s v="Anne Anthony"/>
    <s v="OK"/>
  </r>
  <r>
    <n v="761"/>
    <x v="2"/>
    <x v="0"/>
    <n v="0.29899999999999999"/>
    <x v="2"/>
    <n v="20"/>
    <s v="Small"/>
    <x v="2"/>
    <n v="52.820307999999997"/>
    <n v="23.809736000000001"/>
    <s v="Available"/>
    <x v="1"/>
    <d v="2024-05-31T00:00:00"/>
    <s v="May"/>
    <s v="Anne Anthony"/>
    <s v="OK"/>
  </r>
  <r>
    <n v="762"/>
    <x v="3"/>
    <x v="3"/>
    <n v="0.6"/>
    <x v="2"/>
    <n v="15"/>
    <s v="Small"/>
    <x v="0"/>
    <n v="48.228141000000001"/>
    <n v="17.089054999999998"/>
    <s v="Available"/>
    <x v="1"/>
    <d v="2024-05-31T00:00:00"/>
    <s v="May"/>
    <s v="John Johnson"/>
    <s v="OK"/>
  </r>
  <r>
    <n v="763"/>
    <x v="1"/>
    <x v="3"/>
    <n v="30"/>
    <x v="1"/>
    <n v="115"/>
    <s v="Large"/>
    <x v="0"/>
    <n v="48.408025000000002"/>
    <n v="18.865228999999999"/>
    <s v="Available"/>
    <x v="1"/>
    <d v="2024-05-31T00:00:00"/>
    <s v="May"/>
    <s v="John Johnson"/>
    <s v="OK"/>
  </r>
  <r>
    <n v="764"/>
    <x v="2"/>
    <x v="0"/>
    <n v="0.32500000000000001"/>
    <x v="2"/>
    <n v="20"/>
    <s v="Small"/>
    <x v="0"/>
    <n v="52.823959000000002"/>
    <n v="23.817073000000001"/>
    <s v="Available"/>
    <x v="1"/>
    <d v="2024-06-01T00:00:00"/>
    <s v="June"/>
    <s v="Anne Anthony"/>
    <s v="OK"/>
  </r>
  <r>
    <n v="765"/>
    <x v="2"/>
    <x v="0"/>
    <n v="0.27600000000000002"/>
    <x v="2"/>
    <n v="22"/>
    <s v="Small"/>
    <x v="0"/>
    <n v="52.825746000000002"/>
    <n v="23.815204000000001"/>
    <s v="Available"/>
    <x v="1"/>
    <d v="2024-06-01T00:00:00"/>
    <s v="June"/>
    <s v="Anne Anthony"/>
    <s v="OK"/>
  </r>
  <r>
    <n v="766"/>
    <x v="2"/>
    <x v="0"/>
    <n v="0.29799999999999999"/>
    <x v="2"/>
    <n v="24"/>
    <s v="Small"/>
    <x v="2"/>
    <n v="52.823594999999997"/>
    <n v="23.814758000000001"/>
    <s v="Available"/>
    <x v="1"/>
    <d v="2024-06-01T00:00:00"/>
    <s v="June"/>
    <s v="Anne Anthony"/>
    <s v="OK"/>
  </r>
  <r>
    <n v="767"/>
    <x v="2"/>
    <x v="0"/>
    <n v="0.32200000000000001"/>
    <x v="2"/>
    <n v="23"/>
    <s v="Small"/>
    <x v="0"/>
    <n v="52.825363000000003"/>
    <n v="23.816828999999998"/>
    <s v="Available"/>
    <x v="1"/>
    <d v="2024-06-01T00:00:00"/>
    <s v="June"/>
    <s v="Anne Anthony"/>
    <s v="OK"/>
  </r>
  <r>
    <n v="768"/>
    <x v="2"/>
    <x v="0"/>
    <n v="0.34399999999999997"/>
    <x v="2"/>
    <n v="22"/>
    <s v="Small"/>
    <x v="2"/>
    <n v="52.821958000000002"/>
    <n v="23.811375000000002"/>
    <s v="Available"/>
    <x v="1"/>
    <d v="2024-06-01T00:00:00"/>
    <s v="June"/>
    <s v="Anne Anthony"/>
    <s v="OK"/>
  </r>
  <r>
    <n v="769"/>
    <x v="2"/>
    <x v="0"/>
    <n v="0.32300000000000001"/>
    <x v="2"/>
    <n v="22"/>
    <s v="Small"/>
    <x v="2"/>
    <n v="52.823084000000001"/>
    <n v="23.816106000000001"/>
    <s v="Available"/>
    <x v="1"/>
    <d v="2024-06-01T00:00:00"/>
    <s v="June"/>
    <s v="Anne Anthony"/>
    <s v="OK"/>
  </r>
  <r>
    <n v="770"/>
    <x v="3"/>
    <x v="3"/>
    <n v="0.6"/>
    <x v="2"/>
    <n v="15"/>
    <s v="Small"/>
    <x v="0"/>
    <n v="48.238912999999997"/>
    <n v="17.065508000000001"/>
    <s v="Available"/>
    <x v="1"/>
    <d v="2024-06-02T00:00:00"/>
    <s v="June"/>
    <s v="John Johnson"/>
    <s v="OK"/>
  </r>
  <r>
    <n v="771"/>
    <x v="3"/>
    <x v="3"/>
    <n v="0.7"/>
    <x v="2"/>
    <n v="14"/>
    <s v="Small"/>
    <x v="2"/>
    <n v="48.237761999999996"/>
    <n v="17.067101000000001"/>
    <s v="Available"/>
    <x v="1"/>
    <d v="2024-06-03T00:00:00"/>
    <s v="June"/>
    <s v="John Johnson"/>
    <s v="OK"/>
  </r>
  <r>
    <n v="772"/>
    <x v="3"/>
    <x v="3"/>
    <n v="0.7"/>
    <x v="2"/>
    <n v="17"/>
    <s v="Small"/>
    <x v="2"/>
    <n v="48.238517000000002"/>
    <n v="17.090267999999998"/>
    <s v="Available"/>
    <x v="1"/>
    <d v="2024-06-03T00:00:00"/>
    <s v="June"/>
    <s v="John Johnson"/>
    <s v="OK"/>
  </r>
  <r>
    <n v="773"/>
    <x v="3"/>
    <x v="3"/>
    <n v="0.7"/>
    <x v="2"/>
    <n v="24"/>
    <s v="Small"/>
    <x v="0"/>
    <n v="48.232384000000003"/>
    <n v="17.067453"/>
    <s v="Available"/>
    <x v="1"/>
    <d v="2024-06-05T00:00:00"/>
    <s v="June"/>
    <s v="John Johnson"/>
    <s v="OK"/>
  </r>
  <r>
    <n v="774"/>
    <x v="2"/>
    <x v="4"/>
    <n v="0.32400000000000001"/>
    <x v="2"/>
    <n v="19"/>
    <s v="Small"/>
    <x v="0"/>
    <n v="50.881376000000003"/>
    <n v="14.367502999999999"/>
    <s v="Available"/>
    <x v="1"/>
    <d v="2024-06-06T00:00:00"/>
    <s v="June"/>
    <s v="John Johnson"/>
    <s v="OK"/>
  </r>
  <r>
    <n v="775"/>
    <x v="2"/>
    <x v="4"/>
    <n v="0.32400000000000001"/>
    <x v="2"/>
    <n v="19"/>
    <s v="Small"/>
    <x v="2"/>
    <n v="50.883324999999999"/>
    <n v="14.372463"/>
    <s v="Available"/>
    <x v="1"/>
    <d v="2024-06-06T00:00:00"/>
    <s v="June"/>
    <s v="John Johnson"/>
    <s v="OK"/>
  </r>
  <r>
    <n v="776"/>
    <x v="1"/>
    <x v="3"/>
    <n v="19"/>
    <x v="2"/>
    <n v="84"/>
    <s v="Medium"/>
    <x v="2"/>
    <n v="48.408917000000002"/>
    <n v="18.862915000000001"/>
    <s v="Available"/>
    <x v="1"/>
    <d v="2024-06-07T00:00:00"/>
    <s v="June"/>
    <s v="John Johnson"/>
    <s v="OK"/>
  </r>
  <r>
    <n v="777"/>
    <x v="2"/>
    <x v="4"/>
    <n v="0.29099999999999998"/>
    <x v="2"/>
    <n v="21"/>
    <s v="Small"/>
    <x v="2"/>
    <n v="50.881428"/>
    <n v="14.366688999999999"/>
    <s v="Available"/>
    <x v="1"/>
    <d v="2024-06-08T00:00:00"/>
    <s v="June"/>
    <s v="John Johnson"/>
    <s v="OK"/>
  </r>
  <r>
    <n v="778"/>
    <x v="2"/>
    <x v="4"/>
    <n v="0.25800000000000001"/>
    <x v="2"/>
    <n v="20"/>
    <s v="Small"/>
    <x v="0"/>
    <n v="50.882641999999997"/>
    <n v="14.372818000000001"/>
    <s v="Available"/>
    <x v="1"/>
    <d v="2024-06-08T00:00:00"/>
    <s v="June"/>
    <s v="John Johnson"/>
    <s v="OK"/>
  </r>
  <r>
    <n v="779"/>
    <x v="2"/>
    <x v="4"/>
    <n v="0.33300000000000002"/>
    <x v="2"/>
    <n v="23"/>
    <s v="Small"/>
    <x v="0"/>
    <n v="50.883848999999998"/>
    <n v="14.367353"/>
    <s v="Available"/>
    <x v="1"/>
    <d v="2024-06-10T00:00:00"/>
    <s v="June"/>
    <s v="John Johnson"/>
    <s v="OK"/>
  </r>
  <r>
    <n v="780"/>
    <x v="2"/>
    <x v="4"/>
    <n v="0.27800000000000002"/>
    <x v="2"/>
    <n v="18"/>
    <s v="Small"/>
    <x v="2"/>
    <n v="50.884287999999998"/>
    <n v="14.372837000000001"/>
    <s v="Available"/>
    <x v="1"/>
    <d v="2024-06-11T00:00:00"/>
    <s v="June"/>
    <s v="John Johnson"/>
    <s v="OK"/>
  </r>
  <r>
    <n v="781"/>
    <x v="1"/>
    <x v="3"/>
    <n v="23"/>
    <x v="1"/>
    <n v="95"/>
    <s v="Medium"/>
    <x v="0"/>
    <n v="48.411735999999998"/>
    <n v="18.874597000000001"/>
    <s v="Available"/>
    <x v="1"/>
    <d v="2024-06-19T00:00:00"/>
    <s v="June"/>
    <s v="John Johnson"/>
    <s v="OK"/>
  </r>
  <r>
    <n v="782"/>
    <x v="1"/>
    <x v="3"/>
    <n v="11"/>
    <x v="2"/>
    <n v="52"/>
    <s v="Medium"/>
    <x v="2"/>
    <n v="48.411790000000003"/>
    <n v="18.871649999999999"/>
    <s v="Available"/>
    <x v="1"/>
    <d v="2024-06-19T00:00:00"/>
    <s v="June"/>
    <s v="John Johnson"/>
    <s v="OK"/>
  </r>
  <r>
    <n v="783"/>
    <x v="1"/>
    <x v="4"/>
    <n v="25"/>
    <x v="1"/>
    <n v="97"/>
    <s v="Medium"/>
    <x v="2"/>
    <n v="50.881003"/>
    <n v="14.369286000000001"/>
    <s v="Available"/>
    <x v="1"/>
    <d v="2024-06-30T00:00:00"/>
    <s v="June"/>
    <s v="John Johnson"/>
    <s v="OK"/>
  </r>
  <r>
    <n v="784"/>
    <x v="1"/>
    <x v="3"/>
    <n v="15"/>
    <x v="2"/>
    <n v="65"/>
    <s v="Medium"/>
    <x v="2"/>
    <n v="48.406339000000003"/>
    <n v="18.841070999999999"/>
    <s v="Available"/>
    <x v="1"/>
    <d v="2024-03-07T00:00:00"/>
    <s v="March"/>
    <s v="James Johnson"/>
    <s v="OK"/>
  </r>
  <r>
    <n v="785"/>
    <x v="1"/>
    <x v="3"/>
    <n v="18"/>
    <x v="2"/>
    <n v="85"/>
    <s v="Medium"/>
    <x v="0"/>
    <n v="48.411729000000001"/>
    <n v="18.835591000000001"/>
    <s v="Available"/>
    <x v="1"/>
    <d v="2024-03-07T00:00:00"/>
    <s v="March"/>
    <s v="James Johnson"/>
    <s v="OK"/>
  </r>
  <r>
    <n v="786"/>
    <x v="2"/>
    <x v="3"/>
    <n v="0.29699999999999999"/>
    <x v="2"/>
    <n v="20"/>
    <s v="Small"/>
    <x v="1"/>
    <n v="49.054132000000003"/>
    <n v="22.411066000000002"/>
    <s v="Available"/>
    <x v="1"/>
    <d v="2024-03-07T00:00:00"/>
    <s v="March"/>
    <s v="James Johnson"/>
    <s v="OK"/>
  </r>
  <r>
    <n v="787"/>
    <x v="2"/>
    <x v="3"/>
    <n v="0.27300000000000002"/>
    <x v="2"/>
    <n v="23"/>
    <s v="Small"/>
    <x v="2"/>
    <n v="49.055962000000001"/>
    <n v="22.425526999999999"/>
    <s v="Available"/>
    <x v="1"/>
    <d v="2024-03-07T00:00:00"/>
    <s v="March"/>
    <s v="James Johnson"/>
    <s v="OK"/>
  </r>
  <r>
    <n v="788"/>
    <x v="2"/>
    <x v="3"/>
    <n v="0.254"/>
    <x v="2"/>
    <n v="19"/>
    <s v="Small"/>
    <x v="0"/>
    <n v="49.055646000000003"/>
    <n v="22.412458000000001"/>
    <s v="Available"/>
    <x v="1"/>
    <d v="2024-03-07T00:00:00"/>
    <s v="March"/>
    <s v="James Johnson"/>
    <s v="OK"/>
  </r>
  <r>
    <n v="789"/>
    <x v="2"/>
    <x v="3"/>
    <n v="0.30499999999999999"/>
    <x v="2"/>
    <n v="20"/>
    <s v="Small"/>
    <x v="2"/>
    <n v="49.052909999999997"/>
    <n v="22.420860999999999"/>
    <s v="Available"/>
    <x v="1"/>
    <d v="2024-03-07T00:00:00"/>
    <s v="March"/>
    <s v="James Johnson"/>
    <s v="OK"/>
  </r>
  <r>
    <n v="790"/>
    <x v="2"/>
    <x v="3"/>
    <n v="0.32700000000000001"/>
    <x v="2"/>
    <n v="19"/>
    <s v="Small"/>
    <x v="2"/>
    <n v="49.055546999999997"/>
    <n v="22.411172000000001"/>
    <s v="Available"/>
    <x v="1"/>
    <d v="2024-03-07T00:00:00"/>
    <s v="March"/>
    <s v="James Johnson"/>
    <s v="OK"/>
  </r>
  <r>
    <n v="791"/>
    <x v="2"/>
    <x v="3"/>
    <n v="0.30499999999999999"/>
    <x v="2"/>
    <n v="20"/>
    <s v="Small"/>
    <x v="0"/>
    <n v="49.054647000000003"/>
    <n v="22.410444999999999"/>
    <s v="Available"/>
    <x v="1"/>
    <d v="2024-03-07T00:00:00"/>
    <s v="March"/>
    <s v="James Johnson"/>
    <s v="OK"/>
  </r>
  <r>
    <n v="792"/>
    <x v="3"/>
    <x v="3"/>
    <n v="1"/>
    <x v="2"/>
    <n v="17"/>
    <s v="Small"/>
    <x v="0"/>
    <n v="48.226063000000003"/>
    <n v="17.078596000000001"/>
    <s v="Available"/>
    <x v="1"/>
    <d v="2024-05-07T00:00:00"/>
    <s v="May"/>
    <s v="James Johnson"/>
    <s v="OK"/>
  </r>
  <r>
    <n v="793"/>
    <x v="3"/>
    <x v="3"/>
    <n v="0.6"/>
    <x v="2"/>
    <n v="16"/>
    <s v="Small"/>
    <x v="2"/>
    <n v="48.238067000000001"/>
    <n v="17.090890999999999"/>
    <s v="Available"/>
    <x v="1"/>
    <d v="2024-05-07T00:00:00"/>
    <s v="May"/>
    <s v="James Johnson"/>
    <s v="OK"/>
  </r>
  <r>
    <n v="794"/>
    <x v="3"/>
    <x v="3"/>
    <n v="1.1000000000000001"/>
    <x v="2"/>
    <n v="20"/>
    <s v="Small"/>
    <x v="2"/>
    <n v="48.239539999999998"/>
    <n v="17.066718999999999"/>
    <s v="Available"/>
    <x v="1"/>
    <d v="2024-05-07T00:00:00"/>
    <s v="May"/>
    <s v="James Johnson"/>
    <s v="OK"/>
  </r>
  <r>
    <n v="795"/>
    <x v="2"/>
    <x v="3"/>
    <n v="0.32700000000000001"/>
    <x v="2"/>
    <n v="23"/>
    <s v="Small"/>
    <x v="0"/>
    <n v="49.057284000000003"/>
    <n v="22.423860999999999"/>
    <s v="Available"/>
    <x v="1"/>
    <d v="2024-03-08T00:00:00"/>
    <s v="March"/>
    <s v="James Johnson"/>
    <s v="OK"/>
  </r>
  <r>
    <n v="796"/>
    <x v="2"/>
    <x v="3"/>
    <n v="0.31900000000000001"/>
    <x v="2"/>
    <n v="22"/>
    <s v="Small"/>
    <x v="2"/>
    <n v="49.054751000000003"/>
    <n v="22.419160000000002"/>
    <s v="Available"/>
    <x v="1"/>
    <d v="2024-03-08T00:00:00"/>
    <s v="March"/>
    <s v="James Johnson"/>
    <s v="OK"/>
  </r>
  <r>
    <n v="797"/>
    <x v="2"/>
    <x v="3"/>
    <n v="0.30299999999999999"/>
    <x v="2"/>
    <n v="20"/>
    <s v="Small"/>
    <x v="0"/>
    <n v="49.055929999999996"/>
    <n v="22.424085000000002"/>
    <s v="Available"/>
    <x v="1"/>
    <d v="2024-03-08T00:00:00"/>
    <s v="March"/>
    <s v="James Johnson"/>
    <s v="OK"/>
  </r>
  <r>
    <n v="798"/>
    <x v="1"/>
    <x v="3"/>
    <n v="12"/>
    <x v="2"/>
    <n v="61"/>
    <s v="Medium"/>
    <x v="0"/>
    <n v="48.413927999999999"/>
    <n v="18.835280999999998"/>
    <s v="Available"/>
    <x v="1"/>
    <d v="2024-03-09T00:00:00"/>
    <s v="March"/>
    <s v="James Johnson"/>
    <s v="OK"/>
  </r>
  <r>
    <n v="799"/>
    <x v="2"/>
    <x v="3"/>
    <n v="0.309"/>
    <x v="2"/>
    <n v="20"/>
    <s v="Small"/>
    <x v="2"/>
    <n v="49.057758"/>
    <n v="22.415168999999999"/>
    <s v="Available"/>
    <x v="1"/>
    <d v="2024-03-09T00:00:00"/>
    <s v="March"/>
    <s v="James Johnson"/>
    <s v="OK"/>
  </r>
  <r>
    <n v="800"/>
    <x v="2"/>
    <x v="3"/>
    <n v="0.33200000000000002"/>
    <x v="2"/>
    <n v="19"/>
    <s v="Small"/>
    <x v="0"/>
    <n v="48.185695000000003"/>
    <n v="17.090741999999999"/>
    <s v="Available"/>
    <x v="1"/>
    <d v="2024-03-09T00:00:00"/>
    <s v="March"/>
    <s v="James Johnson"/>
    <s v="OK"/>
  </r>
  <r>
    <n v="801"/>
    <x v="2"/>
    <x v="3"/>
    <n v="0.33100000000000002"/>
    <x v="2"/>
    <n v="18"/>
    <s v="Small"/>
    <x v="2"/>
    <n v="48.186039999999998"/>
    <n v="17.091146999999999"/>
    <s v="Available"/>
    <x v="1"/>
    <d v="2024-03-11T00:00:00"/>
    <s v="March"/>
    <s v="James Johnson"/>
    <s v="OK"/>
  </r>
  <r>
    <n v="802"/>
    <x v="3"/>
    <x v="1"/>
    <n v="0.84565217391304304"/>
    <x v="2"/>
    <n v="20.985294117647001"/>
    <s v="Small"/>
    <x v="0"/>
    <n v="47.509754999999998"/>
    <n v="18.949465"/>
    <s v="Available"/>
    <x v="1"/>
    <d v="2024-05-01T00:00:00"/>
    <s v="May"/>
    <s v="Anne Anthony"/>
    <s v="OK"/>
  </r>
  <r>
    <n v="803"/>
    <x v="3"/>
    <x v="1"/>
    <n v="0.9"/>
    <x v="2"/>
    <n v="16"/>
    <s v="Small"/>
    <x v="2"/>
    <n v="47.507052999999999"/>
    <n v="18.943306"/>
    <s v="Available"/>
    <x v="1"/>
    <d v="2024-05-01T00:00:00"/>
    <s v="May"/>
    <s v="Anne Anthony"/>
    <s v="OK"/>
  </r>
  <r>
    <n v="804"/>
    <x v="2"/>
    <x v="0"/>
    <n v="0.28100000000000003"/>
    <x v="2"/>
    <n v="21"/>
    <s v="Small"/>
    <x v="0"/>
    <n v="52.211984999999999"/>
    <n v="21.032869000000002"/>
    <s v="Available"/>
    <x v="1"/>
    <d v="2024-05-01T00:00:00"/>
    <s v="May"/>
    <s v="Anne Anthony"/>
    <s v="OK"/>
  </r>
  <r>
    <n v="805"/>
    <x v="3"/>
    <x v="3"/>
    <n v="0.6"/>
    <x v="2"/>
    <n v="19"/>
    <s v="Small"/>
    <x v="2"/>
    <n v="48.184621"/>
    <n v="17.089464"/>
    <s v="Available"/>
    <x v="1"/>
    <d v="2024-05-01T00:00:00"/>
    <s v="May"/>
    <s v="John Johnson"/>
    <s v="OK"/>
  </r>
  <r>
    <n v="806"/>
    <x v="1"/>
    <x v="3"/>
    <n v="27"/>
    <x v="1"/>
    <n v="96"/>
    <s v="Medium"/>
    <x v="0"/>
    <n v="48.406669000000001"/>
    <n v="18.871601999999999"/>
    <s v="Available"/>
    <x v="1"/>
    <d v="2024-05-01T00:00:00"/>
    <s v="May"/>
    <s v="John Johnson"/>
    <s v="OK"/>
  </r>
  <r>
    <n v="807"/>
    <x v="1"/>
    <x v="0"/>
    <n v="13"/>
    <x v="2"/>
    <n v="63"/>
    <s v="Medium"/>
    <x v="2"/>
    <n v="52.846378999999999"/>
    <n v="23.904990000000002"/>
    <s v="Available"/>
    <x v="1"/>
    <d v="2024-05-02T00:00:00"/>
    <s v="May"/>
    <s v="Anne Anthony"/>
    <s v="OK"/>
  </r>
  <r>
    <n v="808"/>
    <x v="1"/>
    <x v="0"/>
    <n v="20"/>
    <x v="1"/>
    <n v="87"/>
    <s v="Medium"/>
    <x v="2"/>
    <n v="52.852069"/>
    <n v="23.900870000000001"/>
    <s v="Available"/>
    <x v="1"/>
    <d v="2024-05-02T00:00:00"/>
    <s v="May"/>
    <s v="Anne Anthony"/>
    <s v="OK"/>
  </r>
  <r>
    <n v="809"/>
    <x v="2"/>
    <x v="0"/>
    <n v="0.28199999999999997"/>
    <x v="2"/>
    <n v="22"/>
    <s v="Small"/>
    <x v="2"/>
    <n v="52.212910999999998"/>
    <n v="21.034175000000001"/>
    <s v="Available"/>
    <x v="1"/>
    <d v="2024-05-02T00:00:00"/>
    <s v="May"/>
    <s v="Anne Anthony"/>
    <s v="OK"/>
  </r>
  <r>
    <n v="810"/>
    <x v="2"/>
    <x v="2"/>
    <n v="0.30499999999999999"/>
    <x v="2"/>
    <n v="21"/>
    <s v="Small"/>
    <x v="2"/>
    <n v="48.162609000000003"/>
    <n v="11.494157"/>
    <s v="Available"/>
    <x v="1"/>
    <d v="2024-05-02T00:00:00"/>
    <s v="May"/>
    <s v="Bob Bobson"/>
    <s v="OK"/>
  </r>
  <r>
    <n v="811"/>
    <x v="0"/>
    <x v="4"/>
    <n v="727"/>
    <x v="0"/>
    <n v="210"/>
    <s v="Very Large"/>
    <x v="0"/>
    <n v="50.643056000000001"/>
    <n v="14.843037000000001"/>
    <s v="Available"/>
    <x v="1"/>
    <d v="2024-05-02T00:00:00"/>
    <s v="May"/>
    <s v="John Johnson"/>
    <s v="OK"/>
  </r>
  <r>
    <n v="812"/>
    <x v="1"/>
    <x v="3"/>
    <n v="25"/>
    <x v="1"/>
    <n v="107"/>
    <s v="Large"/>
    <x v="2"/>
    <n v="48.408475000000003"/>
    <n v="18.872534999999999"/>
    <s v="Available"/>
    <x v="1"/>
    <d v="2024-05-02T00:00:00"/>
    <s v="May"/>
    <s v="John Johnson"/>
    <s v="OK"/>
  </r>
  <r>
    <n v="813"/>
    <x v="3"/>
    <x v="1"/>
    <n v="1.2"/>
    <x v="2"/>
    <n v="26"/>
    <s v="Small"/>
    <x v="0"/>
    <n v="47.509103000000003"/>
    <n v="18.948170999999999"/>
    <s v="Available"/>
    <x v="1"/>
    <d v="2024-05-03T00:00:00"/>
    <s v="May"/>
    <s v="Anne Anthony"/>
    <s v="OK"/>
  </r>
  <r>
    <n v="814"/>
    <x v="3"/>
    <x v="3"/>
    <n v="1.1000000000000001"/>
    <x v="2"/>
    <n v="22"/>
    <s v="Small"/>
    <x v="0"/>
    <n v="48.183926999999997"/>
    <n v="17.090716"/>
    <s v="Available"/>
    <x v="1"/>
    <d v="2024-05-03T00:00:00"/>
    <s v="May"/>
    <s v="John Johnson"/>
    <s v="OK"/>
  </r>
  <r>
    <n v="815"/>
    <x v="2"/>
    <x v="0"/>
    <n v="0.317"/>
    <x v="2"/>
    <n v="19"/>
    <s v="Small"/>
    <x v="2"/>
    <n v="52.212310000000002"/>
    <n v="21.033586"/>
    <s v="Available"/>
    <x v="6"/>
    <d v="2024-05-04T00:00:00"/>
    <s v="May"/>
    <s v="Anne Anthony"/>
    <s v="OK"/>
  </r>
  <r>
    <n v="816"/>
    <x v="3"/>
    <x v="1"/>
    <n v="0.7"/>
    <x v="2"/>
    <n v="26"/>
    <s v="Small"/>
    <x v="0"/>
    <n v="47.510697"/>
    <n v="18.948588000000001"/>
    <s v="Available"/>
    <x v="1"/>
    <d v="2024-05-05T00:00:00"/>
    <s v="May"/>
    <s v="Anne Anthony"/>
    <s v="OK"/>
  </r>
  <r>
    <n v="817"/>
    <x v="3"/>
    <x v="1"/>
    <n v="1.1000000000000001"/>
    <x v="2"/>
    <n v="21"/>
    <s v="Small"/>
    <x v="2"/>
    <n v="47.505903000000004"/>
    <n v="18.948537999999999"/>
    <s v="Available"/>
    <x v="1"/>
    <d v="2024-05-05T00:00:00"/>
    <s v="May"/>
    <s v="Anne Anthony"/>
    <s v="OK"/>
  </r>
  <r>
    <n v="818"/>
    <x v="1"/>
    <x v="0"/>
    <n v="24"/>
    <x v="1"/>
    <n v="89"/>
    <s v="Medium"/>
    <x v="2"/>
    <n v="52.847482999999997"/>
    <n v="23.906057000000001"/>
    <s v="Available"/>
    <x v="1"/>
    <d v="2024-05-05T00:00:00"/>
    <s v="May"/>
    <s v="Anne Anthony"/>
    <s v="OK"/>
  </r>
  <r>
    <n v="819"/>
    <x v="3"/>
    <x v="2"/>
    <n v="0.6"/>
    <x v="2"/>
    <n v="23"/>
    <s v="Small"/>
    <x v="2"/>
    <n v="49.561219999999999"/>
    <n v="11.082195"/>
    <s v="Available"/>
    <x v="1"/>
    <d v="2024-05-05T00:00:00"/>
    <s v="May"/>
    <s v="Bob Bobson"/>
    <s v="OK"/>
  </r>
  <r>
    <n v="820"/>
    <x v="3"/>
    <x v="2"/>
    <n v="0.7"/>
    <x v="2"/>
    <n v="21"/>
    <s v="Small"/>
    <x v="2"/>
    <n v="49.559522999999999"/>
    <n v="11.103683999999999"/>
    <s v="Available"/>
    <x v="1"/>
    <d v="2024-05-05T00:00:00"/>
    <s v="May"/>
    <s v="Bob Bobson"/>
    <s v="OK"/>
  </r>
  <r>
    <n v="821"/>
    <x v="3"/>
    <x v="2"/>
    <n v="0.6"/>
    <x v="2"/>
    <n v="23"/>
    <s v="Small"/>
    <x v="0"/>
    <n v="49.547725"/>
    <n v="11.082734"/>
    <s v="Available"/>
    <x v="1"/>
    <d v="2024-05-05T00:00:00"/>
    <s v="May"/>
    <s v="Bob Bobson"/>
    <s v="OK"/>
  </r>
  <r>
    <n v="822"/>
    <x v="3"/>
    <x v="3"/>
    <n v="1"/>
    <x v="2"/>
    <n v="21"/>
    <s v="Small"/>
    <x v="0"/>
    <n v="48.185893"/>
    <n v="17.08942"/>
    <s v="Available"/>
    <x v="1"/>
    <d v="2024-05-05T00:00:00"/>
    <s v="May"/>
    <s v="John Johnson"/>
    <s v="OK"/>
  </r>
  <r>
    <n v="823"/>
    <x v="3"/>
    <x v="3"/>
    <n v="0.4"/>
    <x v="2"/>
    <n v="16"/>
    <s v="Small"/>
    <x v="0"/>
    <n v="48.187845000000003"/>
    <n v="17.086572"/>
    <s v="Available"/>
    <x v="1"/>
    <d v="2024-05-05T00:00:00"/>
    <s v="May"/>
    <s v="John Johnson"/>
    <s v="OK"/>
  </r>
  <r>
    <n v="824"/>
    <x v="3"/>
    <x v="3"/>
    <n v="0.7"/>
    <x v="2"/>
    <n v="19"/>
    <s v="Small"/>
    <x v="2"/>
    <n v="48.184277999999999"/>
    <n v="17.086877999999999"/>
    <s v="Available"/>
    <x v="1"/>
    <d v="2024-05-05T00:00:00"/>
    <s v="May"/>
    <s v="John Johnson"/>
    <s v="OK"/>
  </r>
  <r>
    <n v="825"/>
    <x v="2"/>
    <x v="0"/>
    <n v="0.30099999999999999"/>
    <x v="2"/>
    <n v="22"/>
    <s v="Small"/>
    <x v="0"/>
    <n v="52.212760000000003"/>
    <n v="21.034189000000001"/>
    <s v="Available"/>
    <x v="1"/>
    <d v="2024-05-06T00:00:00"/>
    <s v="May"/>
    <s v="Anne Anthony"/>
    <s v="OK"/>
  </r>
  <r>
    <n v="826"/>
    <x v="2"/>
    <x v="0"/>
    <n v="0.34300000000000003"/>
    <x v="2"/>
    <n v="22"/>
    <s v="Small"/>
    <x v="0"/>
    <n v="52.212496999999999"/>
    <n v="21.033515000000001"/>
    <s v="Available"/>
    <x v="1"/>
    <d v="2024-05-06T00:00:00"/>
    <s v="May"/>
    <s v="Anne Anthony"/>
    <s v="OK"/>
  </r>
  <r>
    <n v="827"/>
    <x v="2"/>
    <x v="0"/>
    <n v="0.307"/>
    <x v="2"/>
    <n v="20"/>
    <s v="Small"/>
    <x v="2"/>
    <n v="52.212144000000002"/>
    <n v="21.033534"/>
    <s v="Available"/>
    <x v="1"/>
    <d v="2024-05-06T00:00:00"/>
    <s v="May"/>
    <s v="Anne Anthony"/>
    <s v="OK"/>
  </r>
  <r>
    <n v="828"/>
    <x v="3"/>
    <x v="3"/>
    <n v="0.8"/>
    <x v="2"/>
    <n v="21"/>
    <s v="Small"/>
    <x v="0"/>
    <n v="48.187468000000003"/>
    <n v="17.088826999999998"/>
    <s v="Available"/>
    <x v="1"/>
    <d v="2024-05-06T00:00:00"/>
    <s v="May"/>
    <s v="John Johnson"/>
    <s v="OK"/>
  </r>
  <r>
    <n v="829"/>
    <x v="3"/>
    <x v="1"/>
    <n v="0.9"/>
    <x v="2"/>
    <n v="23"/>
    <s v="Small"/>
    <x v="0"/>
    <n v="47.510055000000001"/>
    <n v="18.944355999999999"/>
    <s v="Available"/>
    <x v="1"/>
    <d v="2024-05-07T00:00:00"/>
    <s v="May"/>
    <s v="Anne Anthony"/>
    <s v="OK"/>
  </r>
  <r>
    <n v="830"/>
    <x v="2"/>
    <x v="0"/>
    <n v="0.34599999999999997"/>
    <x v="2"/>
    <n v="20"/>
    <s v="Small"/>
    <x v="2"/>
    <n v="52.212001000000001"/>
    <n v="21.033187000000002"/>
    <s v="Available"/>
    <x v="4"/>
    <d v="2024-05-07T00:00:00"/>
    <s v="May"/>
    <s v="Anne Anthony"/>
    <s v="OK"/>
  </r>
  <r>
    <n v="831"/>
    <x v="3"/>
    <x v="2"/>
    <n v="1"/>
    <x v="2"/>
    <n v="23"/>
    <s v="Small"/>
    <x v="2"/>
    <n v="49.561356000000004"/>
    <n v="11.105333999999999"/>
    <s v="Available"/>
    <x v="1"/>
    <d v="2024-05-07T00:00:00"/>
    <s v="May"/>
    <s v="Bob Bobson"/>
    <s v="OK"/>
  </r>
  <r>
    <n v="832"/>
    <x v="3"/>
    <x v="2"/>
    <n v="0.5"/>
    <x v="2"/>
    <n v="17"/>
    <s v="Small"/>
    <x v="2"/>
    <n v="49.561568999999999"/>
    <n v="11.087046000000001"/>
    <s v="Available"/>
    <x v="1"/>
    <d v="2024-05-07T00:00:00"/>
    <s v="May"/>
    <s v="Bob Bobson"/>
    <s v="OK"/>
  </r>
  <r>
    <n v="833"/>
    <x v="3"/>
    <x v="1"/>
    <n v="0.9"/>
    <x v="2"/>
    <n v="16"/>
    <s v="Small"/>
    <x v="2"/>
    <n v="47.509860000000003"/>
    <n v="18.939943"/>
    <s v="Available"/>
    <x v="1"/>
    <d v="2024-05-08T00:00:00"/>
    <s v="May"/>
    <s v="Anne Anthony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149C3-4743-40B8-AF97-D7D41647B1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16">
    <pivotField showAll="0"/>
    <pivotField dataField="1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7"/>
        <item x="5"/>
        <item x="4"/>
        <item x="3"/>
        <item x="9"/>
        <item x="8"/>
        <item x="0"/>
        <item x="1"/>
        <item x="6"/>
        <item t="default"/>
      </items>
    </pivotField>
    <pivotField numFmtId="14" showAll="0"/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nimal Type" fld="1" subtotal="count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1EB18-89F9-4C27-BB97-A387BD7FC4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6">
    <pivotField showAll="0"/>
    <pivotField dataField="1" showAll="0"/>
    <pivotField axis="axisRow" showAll="0">
      <items count="7">
        <item x="5"/>
        <item x="4"/>
        <item x="2"/>
        <item x="1"/>
        <item x="0"/>
        <item x="3"/>
        <item t="default"/>
      </items>
    </pivotField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nimal Type" fld="1" subtotal="count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06786-2BD9-4498-A707-DCC9B08CBD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" firstHeaderRow="1" firstDataRow="1" firstDataCol="1"/>
  <pivotFields count="16">
    <pivotField showAll="0"/>
    <pivotField dataField="1" showAll="0">
      <items count="5">
        <item x="0"/>
        <item x="3"/>
        <item x="1"/>
        <item x="2"/>
        <item t="default"/>
      </items>
    </pivotField>
    <pivotField showAll="0"/>
    <pivotField numFmtId="2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nimal Type" fld="1" subtotal="count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4332F-8AA7-49CC-AA4F-870A012D3AF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6">
    <pivotField showAll="0"/>
    <pivotField dataField="1" showAll="0"/>
    <pivotField showAll="0"/>
    <pivotField numFmtId="2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nimal Type" fld="1" subtotal="count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BDA7-1470-43C5-AC42-CCD6E0A48519}">
  <dimension ref="A1:K14"/>
  <sheetViews>
    <sheetView zoomScale="130" zoomScaleNormal="130" workbookViewId="0">
      <selection activeCell="M16" sqref="M16"/>
    </sheetView>
  </sheetViews>
  <sheetFormatPr defaultRowHeight="14.4" x14ac:dyDescent="0.3"/>
  <cols>
    <col min="1" max="1" width="13.44140625" bestFit="1" customWidth="1"/>
    <col min="2" max="2" width="18.44140625" bestFit="1" customWidth="1"/>
    <col min="3" max="3" width="2.77734375" customWidth="1"/>
    <col min="4" max="4" width="12.44140625" bestFit="1" customWidth="1"/>
    <col min="5" max="5" width="18.44140625" bestFit="1" customWidth="1"/>
    <col min="6" max="6" width="4" customWidth="1"/>
    <col min="7" max="7" width="12.44140625" bestFit="1" customWidth="1"/>
    <col min="8" max="8" width="18.44140625" bestFit="1" customWidth="1"/>
    <col min="9" max="9" width="4.88671875" customWidth="1"/>
    <col min="10" max="10" width="12.44140625" bestFit="1" customWidth="1"/>
    <col min="11" max="11" width="18.44140625" bestFit="1" customWidth="1"/>
  </cols>
  <sheetData>
    <row r="1" spans="1:11" x14ac:dyDescent="0.3">
      <c r="A1" s="10" t="s">
        <v>45</v>
      </c>
      <c r="B1" s="11"/>
      <c r="D1" s="10" t="s">
        <v>46</v>
      </c>
      <c r="E1" s="10"/>
      <c r="G1" s="10" t="s">
        <v>50</v>
      </c>
      <c r="H1" s="10"/>
      <c r="J1" s="10" t="s">
        <v>51</v>
      </c>
      <c r="K1" s="10"/>
    </row>
    <row r="2" spans="1:11" x14ac:dyDescent="0.3">
      <c r="A2" s="11"/>
      <c r="B2" s="11"/>
      <c r="D2" s="10"/>
      <c r="E2" s="10"/>
      <c r="G2" s="10"/>
      <c r="H2" s="10"/>
      <c r="J2" s="10"/>
      <c r="K2" s="10"/>
    </row>
    <row r="3" spans="1:11" x14ac:dyDescent="0.3">
      <c r="A3" s="8" t="s">
        <v>42</v>
      </c>
      <c r="B3" t="s">
        <v>44</v>
      </c>
      <c r="D3" s="8" t="s">
        <v>42</v>
      </c>
      <c r="E3" t="s">
        <v>44</v>
      </c>
      <c r="G3" s="8" t="s">
        <v>42</v>
      </c>
      <c r="H3" t="s">
        <v>44</v>
      </c>
      <c r="J3" s="8" t="s">
        <v>42</v>
      </c>
      <c r="K3" t="s">
        <v>44</v>
      </c>
    </row>
    <row r="4" spans="1:11" x14ac:dyDescent="0.3">
      <c r="A4" s="9" t="s">
        <v>17</v>
      </c>
      <c r="B4">
        <v>78</v>
      </c>
      <c r="D4" s="9" t="s">
        <v>8</v>
      </c>
      <c r="E4">
        <v>5</v>
      </c>
      <c r="G4" s="9" t="s">
        <v>47</v>
      </c>
      <c r="H4">
        <v>721</v>
      </c>
      <c r="J4" s="9" t="s">
        <v>33</v>
      </c>
      <c r="K4">
        <v>401</v>
      </c>
    </row>
    <row r="5" spans="1:11" x14ac:dyDescent="0.3">
      <c r="A5" s="9" t="s">
        <v>15</v>
      </c>
      <c r="B5">
        <v>116</v>
      </c>
      <c r="D5" s="9" t="s">
        <v>20</v>
      </c>
      <c r="E5">
        <v>1</v>
      </c>
      <c r="G5" s="9" t="s">
        <v>48</v>
      </c>
      <c r="H5">
        <v>53</v>
      </c>
      <c r="J5" s="9" t="s">
        <v>32</v>
      </c>
      <c r="K5">
        <v>423</v>
      </c>
    </row>
    <row r="6" spans="1:11" x14ac:dyDescent="0.3">
      <c r="A6" s="9" t="s">
        <v>11</v>
      </c>
      <c r="B6">
        <v>178</v>
      </c>
      <c r="D6" s="9" t="s">
        <v>18</v>
      </c>
      <c r="E6">
        <v>1</v>
      </c>
      <c r="G6" s="9" t="s">
        <v>49</v>
      </c>
      <c r="H6">
        <v>59</v>
      </c>
      <c r="J6" s="9" t="s">
        <v>10</v>
      </c>
      <c r="K6">
        <v>9</v>
      </c>
    </row>
    <row r="7" spans="1:11" x14ac:dyDescent="0.3">
      <c r="A7" s="9" t="s">
        <v>7</v>
      </c>
      <c r="B7">
        <v>118</v>
      </c>
      <c r="D7" s="9" t="s">
        <v>16</v>
      </c>
      <c r="E7">
        <v>5</v>
      </c>
      <c r="G7" s="9" t="s">
        <v>43</v>
      </c>
      <c r="H7">
        <v>833</v>
      </c>
      <c r="J7" s="9" t="s">
        <v>43</v>
      </c>
      <c r="K7">
        <v>833</v>
      </c>
    </row>
    <row r="8" spans="1:11" x14ac:dyDescent="0.3">
      <c r="A8" s="9" t="s">
        <v>4</v>
      </c>
      <c r="B8">
        <v>192</v>
      </c>
      <c r="D8" s="9" t="s">
        <v>9</v>
      </c>
      <c r="E8">
        <v>2</v>
      </c>
    </row>
    <row r="9" spans="1:11" x14ac:dyDescent="0.3">
      <c r="A9" s="9" t="s">
        <v>13</v>
      </c>
      <c r="B9">
        <v>151</v>
      </c>
      <c r="D9" s="9" t="s">
        <v>22</v>
      </c>
      <c r="E9">
        <v>1</v>
      </c>
    </row>
    <row r="10" spans="1:11" x14ac:dyDescent="0.3">
      <c r="A10" s="9" t="s">
        <v>43</v>
      </c>
      <c r="B10">
        <v>833</v>
      </c>
      <c r="D10" s="9" t="s">
        <v>21</v>
      </c>
      <c r="E10">
        <v>2</v>
      </c>
    </row>
    <row r="11" spans="1:11" x14ac:dyDescent="0.3">
      <c r="D11" s="9" t="s">
        <v>5</v>
      </c>
      <c r="E11">
        <v>1</v>
      </c>
    </row>
    <row r="12" spans="1:11" x14ac:dyDescent="0.3">
      <c r="D12" s="9" t="s">
        <v>10</v>
      </c>
      <c r="E12">
        <v>813</v>
      </c>
    </row>
    <row r="13" spans="1:11" x14ac:dyDescent="0.3">
      <c r="D13" s="9" t="s">
        <v>19</v>
      </c>
      <c r="E13">
        <v>2</v>
      </c>
    </row>
    <row r="14" spans="1:11" x14ac:dyDescent="0.3">
      <c r="D14" s="9" t="s">
        <v>43</v>
      </c>
      <c r="E14">
        <v>833</v>
      </c>
    </row>
  </sheetData>
  <mergeCells count="4">
    <mergeCell ref="A1:B2"/>
    <mergeCell ref="D1:E2"/>
    <mergeCell ref="G1:H2"/>
    <mergeCell ref="J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2B2E-FE0A-4EA2-8A4D-7D34D2B274DC}">
  <dimension ref="A1:K834"/>
  <sheetViews>
    <sheetView tabSelected="1" workbookViewId="0">
      <selection sqref="A1:K834"/>
    </sheetView>
  </sheetViews>
  <sheetFormatPr defaultRowHeight="14.4" x14ac:dyDescent="0.3"/>
  <sheetData>
    <row r="1" spans="1:11" x14ac:dyDescent="0.3">
      <c r="B1" t="s">
        <v>52</v>
      </c>
      <c r="C1" t="s">
        <v>0</v>
      </c>
      <c r="D1" t="s">
        <v>53</v>
      </c>
      <c r="E1" t="s">
        <v>54</v>
      </c>
      <c r="F1" t="s">
        <v>1</v>
      </c>
      <c r="G1" t="s">
        <v>2</v>
      </c>
      <c r="H1" t="s">
        <v>3</v>
      </c>
      <c r="I1" t="s">
        <v>55</v>
      </c>
      <c r="J1" t="s">
        <v>56</v>
      </c>
      <c r="K1" t="s">
        <v>57</v>
      </c>
    </row>
    <row r="2" spans="1:11" x14ac:dyDescent="0.3">
      <c r="A2">
        <v>2</v>
      </c>
      <c r="B2" t="s">
        <v>58</v>
      </c>
      <c r="C2" t="s">
        <v>4</v>
      </c>
      <c r="D2">
        <v>930</v>
      </c>
      <c r="E2">
        <v>335</v>
      </c>
      <c r="F2" t="s">
        <v>59</v>
      </c>
      <c r="G2">
        <v>52.828845000000001</v>
      </c>
      <c r="H2">
        <v>23.820143999999999</v>
      </c>
      <c r="I2" t="s">
        <v>5</v>
      </c>
      <c r="J2" s="12">
        <v>45352</v>
      </c>
      <c r="K2" t="s">
        <v>6</v>
      </c>
    </row>
    <row r="3" spans="1:11" x14ac:dyDescent="0.3">
      <c r="A3">
        <v>3</v>
      </c>
      <c r="B3" t="s">
        <v>58</v>
      </c>
      <c r="C3" t="s">
        <v>4</v>
      </c>
      <c r="D3">
        <v>909</v>
      </c>
      <c r="E3">
        <v>311</v>
      </c>
      <c r="F3" t="s">
        <v>60</v>
      </c>
      <c r="G3">
        <v>52.830508999999999</v>
      </c>
      <c r="H3">
        <v>23.826848999999999</v>
      </c>
      <c r="I3" t="s">
        <v>61</v>
      </c>
      <c r="J3" s="12">
        <v>45352</v>
      </c>
      <c r="K3" t="s">
        <v>6</v>
      </c>
    </row>
    <row r="4" spans="1:11" x14ac:dyDescent="0.3">
      <c r="A4">
        <v>4</v>
      </c>
      <c r="B4" t="s">
        <v>58</v>
      </c>
      <c r="C4" t="s">
        <v>4</v>
      </c>
      <c r="D4">
        <v>581</v>
      </c>
      <c r="E4">
        <v>277</v>
      </c>
      <c r="F4" t="s">
        <v>62</v>
      </c>
      <c r="G4">
        <v>52.834108999999998</v>
      </c>
      <c r="H4">
        <v>23.807092999999998</v>
      </c>
      <c r="I4" t="s">
        <v>61</v>
      </c>
      <c r="J4" s="12">
        <v>45352</v>
      </c>
      <c r="K4" t="s">
        <v>6</v>
      </c>
    </row>
    <row r="5" spans="1:11" x14ac:dyDescent="0.3">
      <c r="A5">
        <v>5</v>
      </c>
      <c r="B5" t="s">
        <v>58</v>
      </c>
      <c r="C5" t="s">
        <v>4</v>
      </c>
      <c r="D5">
        <v>900</v>
      </c>
      <c r="E5">
        <v>295</v>
      </c>
      <c r="F5" t="s">
        <v>59</v>
      </c>
      <c r="G5">
        <v>52.834758999999998</v>
      </c>
      <c r="H5">
        <v>23.817201000000001</v>
      </c>
      <c r="I5" t="s">
        <v>61</v>
      </c>
      <c r="J5" s="12">
        <v>45352</v>
      </c>
      <c r="K5" t="s">
        <v>6</v>
      </c>
    </row>
    <row r="6" spans="1:11" x14ac:dyDescent="0.3">
      <c r="A6">
        <v>6</v>
      </c>
      <c r="B6" t="s">
        <v>58</v>
      </c>
      <c r="C6" t="s">
        <v>4</v>
      </c>
      <c r="D6">
        <v>620</v>
      </c>
      <c r="E6">
        <v>250</v>
      </c>
      <c r="F6" t="s">
        <v>62</v>
      </c>
      <c r="G6">
        <v>52.834960000000002</v>
      </c>
      <c r="H6">
        <v>23.82075</v>
      </c>
      <c r="I6" t="s">
        <v>61</v>
      </c>
      <c r="J6" s="12">
        <v>45352</v>
      </c>
      <c r="K6" t="s">
        <v>6</v>
      </c>
    </row>
    <row r="7" spans="1:11" x14ac:dyDescent="0.3">
      <c r="A7">
        <v>7</v>
      </c>
      <c r="B7" t="s">
        <v>63</v>
      </c>
      <c r="C7" t="s">
        <v>7</v>
      </c>
      <c r="D7">
        <v>24</v>
      </c>
      <c r="E7">
        <v>76</v>
      </c>
      <c r="F7" t="s">
        <v>59</v>
      </c>
      <c r="G7">
        <v>48.505493999999999</v>
      </c>
      <c r="H7">
        <v>20.551966</v>
      </c>
      <c r="I7" t="s">
        <v>61</v>
      </c>
      <c r="J7" s="12">
        <v>45352</v>
      </c>
      <c r="K7" t="s">
        <v>6</v>
      </c>
    </row>
    <row r="8" spans="1:11" x14ac:dyDescent="0.3">
      <c r="A8">
        <v>8</v>
      </c>
      <c r="B8" t="s">
        <v>63</v>
      </c>
      <c r="C8" t="s">
        <v>7</v>
      </c>
      <c r="D8">
        <v>23</v>
      </c>
      <c r="E8">
        <v>82</v>
      </c>
      <c r="F8" t="s">
        <v>62</v>
      </c>
      <c r="G8">
        <v>48.506529</v>
      </c>
      <c r="H8">
        <v>20.554548</v>
      </c>
      <c r="I8" t="s">
        <v>61</v>
      </c>
      <c r="J8" s="12">
        <v>45352</v>
      </c>
      <c r="K8" t="s">
        <v>6</v>
      </c>
    </row>
    <row r="9" spans="1:11" x14ac:dyDescent="0.3">
      <c r="A9">
        <v>9</v>
      </c>
      <c r="B9" t="s">
        <v>64</v>
      </c>
      <c r="C9" t="s">
        <v>4</v>
      </c>
      <c r="D9">
        <v>0.308</v>
      </c>
      <c r="E9">
        <v>22</v>
      </c>
      <c r="F9" t="s">
        <v>62</v>
      </c>
      <c r="G9">
        <v>52.241273</v>
      </c>
      <c r="H9">
        <v>21.055745000000002</v>
      </c>
      <c r="I9" t="s">
        <v>8</v>
      </c>
      <c r="J9" s="12">
        <v>45352</v>
      </c>
      <c r="K9" t="s">
        <v>6</v>
      </c>
    </row>
    <row r="10" spans="1:11" x14ac:dyDescent="0.3">
      <c r="A10">
        <v>10</v>
      </c>
      <c r="B10" t="s">
        <v>64</v>
      </c>
      <c r="C10" t="s">
        <v>4</v>
      </c>
      <c r="D10">
        <v>0.34799999999999998</v>
      </c>
      <c r="E10">
        <v>20</v>
      </c>
      <c r="F10" t="s">
        <v>62</v>
      </c>
      <c r="G10">
        <v>52.242060000000002</v>
      </c>
      <c r="H10">
        <v>21.057801999999999</v>
      </c>
      <c r="I10" t="s">
        <v>61</v>
      </c>
      <c r="J10" s="12">
        <v>45352</v>
      </c>
      <c r="K10" t="s">
        <v>6</v>
      </c>
    </row>
    <row r="11" spans="1:11" x14ac:dyDescent="0.3">
      <c r="A11">
        <v>11</v>
      </c>
      <c r="B11" t="s">
        <v>64</v>
      </c>
      <c r="C11" t="s">
        <v>4</v>
      </c>
      <c r="D11">
        <v>0.316</v>
      </c>
      <c r="E11">
        <v>20</v>
      </c>
      <c r="F11" t="s">
        <v>59</v>
      </c>
      <c r="G11">
        <v>52.240034999999999</v>
      </c>
      <c r="H11">
        <v>21.056187999999999</v>
      </c>
      <c r="I11" t="s">
        <v>9</v>
      </c>
      <c r="J11" s="12">
        <v>45352</v>
      </c>
      <c r="K11" t="s">
        <v>6</v>
      </c>
    </row>
    <row r="12" spans="1:11" x14ac:dyDescent="0.3">
      <c r="A12">
        <v>12</v>
      </c>
      <c r="B12" t="s">
        <v>64</v>
      </c>
      <c r="C12" t="s">
        <v>4</v>
      </c>
      <c r="D12">
        <v>0.34</v>
      </c>
      <c r="E12">
        <v>21</v>
      </c>
      <c r="F12" t="s">
        <v>10</v>
      </c>
      <c r="G12">
        <v>52.240284000000003</v>
      </c>
      <c r="H12">
        <v>21.051947999999999</v>
      </c>
      <c r="I12" t="s">
        <v>61</v>
      </c>
      <c r="J12" s="12">
        <v>45352</v>
      </c>
      <c r="K12" t="s">
        <v>6</v>
      </c>
    </row>
    <row r="13" spans="1:11" x14ac:dyDescent="0.3">
      <c r="A13">
        <v>13</v>
      </c>
      <c r="B13" t="s">
        <v>64</v>
      </c>
      <c r="C13" t="s">
        <v>4</v>
      </c>
      <c r="D13">
        <v>0.33300000000000002</v>
      </c>
      <c r="E13">
        <v>21</v>
      </c>
      <c r="F13" t="s">
        <v>59</v>
      </c>
      <c r="I13" t="s">
        <v>61</v>
      </c>
      <c r="J13" s="12">
        <v>45352</v>
      </c>
      <c r="K13" t="s">
        <v>6</v>
      </c>
    </row>
    <row r="14" spans="1:11" x14ac:dyDescent="0.3">
      <c r="A14">
        <v>14</v>
      </c>
      <c r="B14" t="s">
        <v>64</v>
      </c>
      <c r="C14" t="s">
        <v>4</v>
      </c>
      <c r="D14">
        <v>0.26500000000000001</v>
      </c>
      <c r="E14">
        <v>19</v>
      </c>
      <c r="F14" t="s">
        <v>62</v>
      </c>
      <c r="G14">
        <v>52.240560000000002</v>
      </c>
      <c r="H14">
        <v>21.055899</v>
      </c>
      <c r="I14" t="s">
        <v>61</v>
      </c>
      <c r="J14" s="12">
        <v>45352</v>
      </c>
      <c r="K14" t="s">
        <v>6</v>
      </c>
    </row>
    <row r="15" spans="1:11" x14ac:dyDescent="0.3">
      <c r="A15">
        <v>15</v>
      </c>
      <c r="B15" t="s">
        <v>64</v>
      </c>
      <c r="C15" t="s">
        <v>4</v>
      </c>
      <c r="D15">
        <v>0.297366504854368</v>
      </c>
      <c r="E15">
        <v>20.418848167539199</v>
      </c>
      <c r="F15" t="s">
        <v>59</v>
      </c>
      <c r="G15">
        <v>52.241177</v>
      </c>
      <c r="H15">
        <v>21.052873000000002</v>
      </c>
      <c r="I15" t="s">
        <v>61</v>
      </c>
      <c r="J15" s="12">
        <v>45352</v>
      </c>
      <c r="K15" t="s">
        <v>6</v>
      </c>
    </row>
    <row r="16" spans="1:11" x14ac:dyDescent="0.3">
      <c r="A16">
        <v>16</v>
      </c>
      <c r="B16" t="s">
        <v>64</v>
      </c>
      <c r="C16" t="s">
        <v>4</v>
      </c>
      <c r="D16">
        <v>0.26100000000000001</v>
      </c>
      <c r="E16">
        <v>22</v>
      </c>
      <c r="F16" t="s">
        <v>62</v>
      </c>
      <c r="G16">
        <v>52.240833000000002</v>
      </c>
      <c r="H16">
        <v>21.052092999999999</v>
      </c>
      <c r="I16" t="s">
        <v>61</v>
      </c>
      <c r="J16" s="12">
        <v>45352</v>
      </c>
      <c r="K16" t="s">
        <v>6</v>
      </c>
    </row>
    <row r="17" spans="1:11" x14ac:dyDescent="0.3">
      <c r="A17">
        <v>17</v>
      </c>
      <c r="B17" t="s">
        <v>64</v>
      </c>
      <c r="C17" t="s">
        <v>4</v>
      </c>
      <c r="D17">
        <v>0.317</v>
      </c>
      <c r="E17">
        <v>23</v>
      </c>
      <c r="F17" t="s">
        <v>59</v>
      </c>
      <c r="G17">
        <v>52.241357999999998</v>
      </c>
      <c r="H17">
        <v>21.056352</v>
      </c>
      <c r="I17" t="s">
        <v>61</v>
      </c>
      <c r="J17" s="12">
        <v>45352</v>
      </c>
      <c r="K17" t="s">
        <v>6</v>
      </c>
    </row>
    <row r="18" spans="1:11" x14ac:dyDescent="0.3">
      <c r="A18">
        <v>18</v>
      </c>
      <c r="B18" t="s">
        <v>64</v>
      </c>
      <c r="C18" t="s">
        <v>4</v>
      </c>
      <c r="D18">
        <v>0.32800000000000001</v>
      </c>
      <c r="E18">
        <v>21</v>
      </c>
      <c r="F18" t="s">
        <v>59</v>
      </c>
      <c r="G18">
        <v>52.241905000000003</v>
      </c>
      <c r="H18">
        <v>21.050726999999998</v>
      </c>
      <c r="I18" t="s">
        <v>61</v>
      </c>
      <c r="J18" s="12">
        <v>45352</v>
      </c>
      <c r="K18" t="s">
        <v>6</v>
      </c>
    </row>
    <row r="19" spans="1:11" x14ac:dyDescent="0.3">
      <c r="A19">
        <v>19</v>
      </c>
      <c r="B19" t="s">
        <v>64</v>
      </c>
      <c r="C19" t="s">
        <v>7</v>
      </c>
      <c r="D19">
        <v>0.30499999999999999</v>
      </c>
      <c r="E19">
        <v>21</v>
      </c>
      <c r="F19" t="s">
        <v>59</v>
      </c>
      <c r="G19">
        <v>47.511400999999999</v>
      </c>
      <c r="H19">
        <v>18.949119</v>
      </c>
      <c r="I19" t="s">
        <v>61</v>
      </c>
      <c r="J19" s="12">
        <v>45352</v>
      </c>
      <c r="K19" t="s">
        <v>6</v>
      </c>
    </row>
    <row r="20" spans="1:11" x14ac:dyDescent="0.3">
      <c r="A20">
        <v>20</v>
      </c>
      <c r="B20" t="s">
        <v>64</v>
      </c>
      <c r="C20" t="s">
        <v>4</v>
      </c>
      <c r="D20">
        <v>0.32800000000000001</v>
      </c>
      <c r="E20">
        <v>23</v>
      </c>
      <c r="F20" t="s">
        <v>59</v>
      </c>
      <c r="G20">
        <v>52.24192</v>
      </c>
      <c r="H20">
        <v>21.056346999999999</v>
      </c>
      <c r="I20" t="s">
        <v>61</v>
      </c>
      <c r="J20" s="12">
        <v>45352</v>
      </c>
      <c r="K20" t="s">
        <v>6</v>
      </c>
    </row>
    <row r="21" spans="1:11" x14ac:dyDescent="0.3">
      <c r="A21">
        <v>21</v>
      </c>
      <c r="B21" t="s">
        <v>64</v>
      </c>
      <c r="C21" t="s">
        <v>11</v>
      </c>
      <c r="D21">
        <v>0.29399999999999998</v>
      </c>
      <c r="E21">
        <v>19</v>
      </c>
      <c r="F21" t="s">
        <v>59</v>
      </c>
      <c r="I21" t="s">
        <v>61</v>
      </c>
      <c r="J21" s="12">
        <v>45352</v>
      </c>
      <c r="K21" t="s">
        <v>12</v>
      </c>
    </row>
    <row r="22" spans="1:11" x14ac:dyDescent="0.3">
      <c r="A22">
        <v>22</v>
      </c>
      <c r="B22" t="s">
        <v>64</v>
      </c>
      <c r="C22" t="s">
        <v>11</v>
      </c>
      <c r="D22">
        <v>0.25</v>
      </c>
      <c r="E22">
        <v>19</v>
      </c>
      <c r="F22" t="s">
        <v>62</v>
      </c>
      <c r="I22" t="s">
        <v>61</v>
      </c>
      <c r="J22" s="12">
        <v>45352</v>
      </c>
      <c r="K22" t="s">
        <v>12</v>
      </c>
    </row>
    <row r="23" spans="1:11" x14ac:dyDescent="0.3">
      <c r="A23">
        <v>23</v>
      </c>
      <c r="B23" t="s">
        <v>64</v>
      </c>
      <c r="C23" t="s">
        <v>11</v>
      </c>
      <c r="D23">
        <v>0.26200000000000001</v>
      </c>
      <c r="E23">
        <v>21</v>
      </c>
      <c r="F23" t="s">
        <v>59</v>
      </c>
      <c r="I23" t="s">
        <v>61</v>
      </c>
      <c r="J23" s="12">
        <v>45352</v>
      </c>
      <c r="K23" t="s">
        <v>12</v>
      </c>
    </row>
    <row r="24" spans="1:11" x14ac:dyDescent="0.3">
      <c r="A24">
        <v>24</v>
      </c>
      <c r="B24" t="s">
        <v>64</v>
      </c>
      <c r="C24" t="s">
        <v>11</v>
      </c>
      <c r="D24">
        <v>0.26700000000000002</v>
      </c>
      <c r="E24">
        <v>21</v>
      </c>
      <c r="F24" t="s">
        <v>62</v>
      </c>
      <c r="I24" t="s">
        <v>61</v>
      </c>
      <c r="J24" s="12">
        <v>45352</v>
      </c>
      <c r="K24" t="s">
        <v>12</v>
      </c>
    </row>
    <row r="25" spans="1:11" x14ac:dyDescent="0.3">
      <c r="A25">
        <v>25</v>
      </c>
      <c r="B25" t="s">
        <v>64</v>
      </c>
      <c r="C25" t="s">
        <v>11</v>
      </c>
      <c r="D25">
        <v>0.26900000000000002</v>
      </c>
      <c r="E25">
        <v>22</v>
      </c>
      <c r="F25" t="s">
        <v>59</v>
      </c>
      <c r="I25" t="s">
        <v>61</v>
      </c>
      <c r="J25" s="12">
        <v>45352</v>
      </c>
      <c r="K25" t="s">
        <v>12</v>
      </c>
    </row>
    <row r="26" spans="1:11" x14ac:dyDescent="0.3">
      <c r="A26">
        <v>26</v>
      </c>
      <c r="B26" t="s">
        <v>64</v>
      </c>
      <c r="C26" t="s">
        <v>11</v>
      </c>
      <c r="D26">
        <v>0.308</v>
      </c>
      <c r="E26">
        <v>22</v>
      </c>
      <c r="F26" t="s">
        <v>62</v>
      </c>
      <c r="I26" t="s">
        <v>61</v>
      </c>
      <c r="J26" s="12">
        <v>45352</v>
      </c>
      <c r="K26" t="s">
        <v>12</v>
      </c>
    </row>
    <row r="27" spans="1:11" x14ac:dyDescent="0.3">
      <c r="A27">
        <v>27</v>
      </c>
      <c r="B27" t="s">
        <v>64</v>
      </c>
      <c r="C27" t="s">
        <v>11</v>
      </c>
      <c r="D27">
        <v>0.308</v>
      </c>
      <c r="E27">
        <v>19</v>
      </c>
      <c r="F27" t="s">
        <v>59</v>
      </c>
      <c r="I27" t="s">
        <v>61</v>
      </c>
      <c r="J27" s="12">
        <v>45352</v>
      </c>
      <c r="K27" t="s">
        <v>12</v>
      </c>
    </row>
    <row r="28" spans="1:11" x14ac:dyDescent="0.3">
      <c r="A28">
        <v>28</v>
      </c>
      <c r="B28" t="s">
        <v>64</v>
      </c>
      <c r="C28" t="s">
        <v>11</v>
      </c>
      <c r="D28">
        <v>0.27</v>
      </c>
      <c r="E28">
        <v>20</v>
      </c>
      <c r="F28" t="s">
        <v>59</v>
      </c>
      <c r="I28" t="s">
        <v>61</v>
      </c>
      <c r="J28" s="12">
        <v>45352</v>
      </c>
      <c r="K28" t="s">
        <v>12</v>
      </c>
    </row>
    <row r="29" spans="1:11" x14ac:dyDescent="0.3">
      <c r="A29">
        <v>29</v>
      </c>
      <c r="B29" t="s">
        <v>64</v>
      </c>
      <c r="C29" t="s">
        <v>11</v>
      </c>
      <c r="D29">
        <v>0.32</v>
      </c>
      <c r="E29">
        <v>20</v>
      </c>
      <c r="F29" t="s">
        <v>59</v>
      </c>
      <c r="I29" t="s">
        <v>61</v>
      </c>
      <c r="J29" s="12">
        <v>45352</v>
      </c>
      <c r="K29" t="s">
        <v>12</v>
      </c>
    </row>
    <row r="30" spans="1:11" x14ac:dyDescent="0.3">
      <c r="A30">
        <v>30</v>
      </c>
      <c r="B30" t="s">
        <v>64</v>
      </c>
      <c r="C30" t="s">
        <v>11</v>
      </c>
      <c r="D30">
        <v>0.26200000000000001</v>
      </c>
      <c r="E30">
        <v>20</v>
      </c>
      <c r="F30" t="s">
        <v>59</v>
      </c>
      <c r="I30" t="s">
        <v>61</v>
      </c>
      <c r="J30" s="12">
        <v>45352</v>
      </c>
      <c r="K30" t="s">
        <v>12</v>
      </c>
    </row>
    <row r="31" spans="1:11" x14ac:dyDescent="0.3">
      <c r="A31">
        <v>31</v>
      </c>
      <c r="B31" t="s">
        <v>64</v>
      </c>
      <c r="C31" t="s">
        <v>11</v>
      </c>
      <c r="D31">
        <v>0.25600000000000001</v>
      </c>
      <c r="E31">
        <v>21</v>
      </c>
      <c r="F31" t="s">
        <v>59</v>
      </c>
      <c r="I31" t="s">
        <v>61</v>
      </c>
      <c r="J31" s="12">
        <v>45352</v>
      </c>
      <c r="K31" t="s">
        <v>12</v>
      </c>
    </row>
    <row r="32" spans="1:11" x14ac:dyDescent="0.3">
      <c r="A32">
        <v>32</v>
      </c>
      <c r="B32" t="s">
        <v>64</v>
      </c>
      <c r="C32" t="s">
        <v>11</v>
      </c>
      <c r="D32">
        <v>0.245</v>
      </c>
      <c r="E32">
        <v>22</v>
      </c>
      <c r="F32" t="s">
        <v>59</v>
      </c>
      <c r="I32" t="s">
        <v>61</v>
      </c>
      <c r="J32" s="12">
        <v>45352</v>
      </c>
      <c r="K32" t="s">
        <v>12</v>
      </c>
    </row>
    <row r="33" spans="1:11" x14ac:dyDescent="0.3">
      <c r="A33">
        <v>33</v>
      </c>
      <c r="B33" t="s">
        <v>64</v>
      </c>
      <c r="C33" t="s">
        <v>11</v>
      </c>
      <c r="D33">
        <v>0.29199999999999998</v>
      </c>
      <c r="E33">
        <v>19</v>
      </c>
      <c r="F33" t="s">
        <v>59</v>
      </c>
      <c r="I33" t="s">
        <v>61</v>
      </c>
      <c r="J33" s="12">
        <v>45352</v>
      </c>
      <c r="K33" t="s">
        <v>12</v>
      </c>
    </row>
    <row r="34" spans="1:11" x14ac:dyDescent="0.3">
      <c r="A34">
        <v>34</v>
      </c>
      <c r="B34" t="s">
        <v>64</v>
      </c>
      <c r="C34" t="s">
        <v>11</v>
      </c>
      <c r="D34">
        <v>0.28899999999999998</v>
      </c>
      <c r="E34">
        <v>19</v>
      </c>
      <c r="F34" t="s">
        <v>62</v>
      </c>
      <c r="I34" t="s">
        <v>61</v>
      </c>
      <c r="J34" s="12">
        <v>45352</v>
      </c>
      <c r="K34" t="s">
        <v>12</v>
      </c>
    </row>
    <row r="35" spans="1:11" x14ac:dyDescent="0.3">
      <c r="A35">
        <v>35</v>
      </c>
      <c r="B35" t="s">
        <v>64</v>
      </c>
      <c r="C35" t="s">
        <v>11</v>
      </c>
      <c r="D35">
        <v>0.308</v>
      </c>
      <c r="E35">
        <v>22</v>
      </c>
      <c r="F35" t="s">
        <v>59</v>
      </c>
      <c r="I35" t="s">
        <v>61</v>
      </c>
      <c r="J35" s="12">
        <v>45352</v>
      </c>
      <c r="K35" t="s">
        <v>12</v>
      </c>
    </row>
    <row r="36" spans="1:11" x14ac:dyDescent="0.3">
      <c r="A36">
        <v>36</v>
      </c>
      <c r="B36" t="s">
        <v>58</v>
      </c>
      <c r="C36" t="s">
        <v>13</v>
      </c>
      <c r="D36">
        <v>420</v>
      </c>
      <c r="E36">
        <v>182</v>
      </c>
      <c r="F36" t="s">
        <v>59</v>
      </c>
      <c r="G36">
        <v>49.054684000000002</v>
      </c>
      <c r="H36">
        <v>22.417189</v>
      </c>
      <c r="I36" t="s">
        <v>61</v>
      </c>
      <c r="J36" s="12">
        <v>45352</v>
      </c>
      <c r="K36" t="s">
        <v>14</v>
      </c>
    </row>
    <row r="37" spans="1:11" x14ac:dyDescent="0.3">
      <c r="A37">
        <v>37</v>
      </c>
      <c r="B37" t="s">
        <v>58</v>
      </c>
      <c r="C37" t="s">
        <v>13</v>
      </c>
      <c r="D37">
        <v>511</v>
      </c>
      <c r="E37">
        <v>266</v>
      </c>
      <c r="F37" t="s">
        <v>62</v>
      </c>
      <c r="G37">
        <v>49.053629000000001</v>
      </c>
      <c r="H37">
        <v>22.421831000000001</v>
      </c>
      <c r="I37" t="s">
        <v>61</v>
      </c>
      <c r="J37" s="12">
        <v>45352</v>
      </c>
      <c r="K37" t="s">
        <v>14</v>
      </c>
    </row>
    <row r="38" spans="1:11" x14ac:dyDescent="0.3">
      <c r="A38">
        <v>38</v>
      </c>
      <c r="B38" t="s">
        <v>58</v>
      </c>
      <c r="C38" t="s">
        <v>13</v>
      </c>
      <c r="D38">
        <v>814</v>
      </c>
      <c r="E38">
        <v>288</v>
      </c>
      <c r="F38" t="s">
        <v>59</v>
      </c>
      <c r="G38">
        <v>49.053488999999999</v>
      </c>
      <c r="H38">
        <v>22.415229</v>
      </c>
      <c r="I38" t="s">
        <v>61</v>
      </c>
      <c r="J38" s="12">
        <v>45352</v>
      </c>
      <c r="K38" t="s">
        <v>14</v>
      </c>
    </row>
    <row r="39" spans="1:11" x14ac:dyDescent="0.3">
      <c r="A39">
        <v>39</v>
      </c>
      <c r="B39" t="s">
        <v>58</v>
      </c>
      <c r="C39" t="s">
        <v>13</v>
      </c>
      <c r="D39">
        <v>130</v>
      </c>
      <c r="E39">
        <v>141</v>
      </c>
      <c r="F39" t="s">
        <v>62</v>
      </c>
      <c r="G39">
        <v>49.054166000000002</v>
      </c>
      <c r="H39">
        <v>22.422851999999999</v>
      </c>
      <c r="I39" t="s">
        <v>61</v>
      </c>
      <c r="J39" s="12">
        <v>45352</v>
      </c>
      <c r="K39" t="s">
        <v>14</v>
      </c>
    </row>
    <row r="40" spans="1:11" x14ac:dyDescent="0.3">
      <c r="A40">
        <v>40</v>
      </c>
      <c r="B40" t="s">
        <v>58</v>
      </c>
      <c r="C40" t="s">
        <v>13</v>
      </c>
      <c r="D40">
        <v>390</v>
      </c>
      <c r="E40">
        <v>180</v>
      </c>
      <c r="F40" t="s">
        <v>62</v>
      </c>
      <c r="G40">
        <v>49.052731000000001</v>
      </c>
      <c r="H40">
        <v>22.422675000000002</v>
      </c>
      <c r="I40" t="s">
        <v>61</v>
      </c>
      <c r="J40" s="12">
        <v>45352</v>
      </c>
      <c r="K40" t="s">
        <v>14</v>
      </c>
    </row>
    <row r="41" spans="1:11" x14ac:dyDescent="0.3">
      <c r="A41">
        <v>41</v>
      </c>
      <c r="B41" t="s">
        <v>58</v>
      </c>
      <c r="C41" t="s">
        <v>13</v>
      </c>
      <c r="D41">
        <v>355</v>
      </c>
      <c r="E41">
        <v>179</v>
      </c>
      <c r="F41" t="s">
        <v>59</v>
      </c>
      <c r="G41">
        <v>49.055973999999999</v>
      </c>
      <c r="H41">
        <v>22.415984999999999</v>
      </c>
      <c r="I41" t="s">
        <v>61</v>
      </c>
      <c r="J41" s="12">
        <v>45352</v>
      </c>
      <c r="K41" t="s">
        <v>14</v>
      </c>
    </row>
    <row r="42" spans="1:11" x14ac:dyDescent="0.3">
      <c r="A42">
        <v>42</v>
      </c>
      <c r="B42" t="s">
        <v>58</v>
      </c>
      <c r="C42" t="s">
        <v>13</v>
      </c>
      <c r="D42">
        <v>566</v>
      </c>
      <c r="E42">
        <v>272</v>
      </c>
      <c r="F42" t="s">
        <v>62</v>
      </c>
      <c r="G42">
        <v>49.053342000000001</v>
      </c>
      <c r="H42">
        <v>22.423867000000001</v>
      </c>
      <c r="I42" t="s">
        <v>61</v>
      </c>
      <c r="J42" s="12">
        <v>45352</v>
      </c>
      <c r="K42" t="s">
        <v>14</v>
      </c>
    </row>
    <row r="43" spans="1:11" x14ac:dyDescent="0.3">
      <c r="A43">
        <v>43</v>
      </c>
      <c r="B43" t="s">
        <v>58</v>
      </c>
      <c r="C43" t="s">
        <v>13</v>
      </c>
      <c r="D43">
        <v>393</v>
      </c>
      <c r="E43">
        <v>152</v>
      </c>
      <c r="F43" t="s">
        <v>60</v>
      </c>
      <c r="G43">
        <v>49.056471000000002</v>
      </c>
      <c r="H43">
        <v>22.422474999999999</v>
      </c>
      <c r="I43" t="s">
        <v>61</v>
      </c>
      <c r="J43" s="12">
        <v>45352</v>
      </c>
      <c r="K43" t="s">
        <v>14</v>
      </c>
    </row>
    <row r="44" spans="1:11" x14ac:dyDescent="0.3">
      <c r="A44">
        <v>44</v>
      </c>
      <c r="B44" t="s">
        <v>58</v>
      </c>
      <c r="C44" t="s">
        <v>15</v>
      </c>
      <c r="D44">
        <v>823</v>
      </c>
      <c r="E44">
        <v>286</v>
      </c>
      <c r="F44" t="s">
        <v>59</v>
      </c>
      <c r="G44">
        <v>50.636564</v>
      </c>
      <c r="H44">
        <v>14.834553</v>
      </c>
      <c r="I44" t="s">
        <v>61</v>
      </c>
      <c r="J44" s="12">
        <v>45352</v>
      </c>
      <c r="K44" t="s">
        <v>14</v>
      </c>
    </row>
    <row r="45" spans="1:11" x14ac:dyDescent="0.3">
      <c r="A45">
        <v>45</v>
      </c>
      <c r="B45" t="s">
        <v>58</v>
      </c>
      <c r="C45" t="s">
        <v>13</v>
      </c>
      <c r="D45">
        <v>695</v>
      </c>
      <c r="E45">
        <v>316</v>
      </c>
      <c r="F45" t="s">
        <v>59</v>
      </c>
      <c r="G45">
        <v>49.055537000000001</v>
      </c>
      <c r="H45">
        <v>22.419428</v>
      </c>
      <c r="I45" t="s">
        <v>61</v>
      </c>
      <c r="J45" s="12">
        <v>45352</v>
      </c>
      <c r="K45" t="s">
        <v>14</v>
      </c>
    </row>
    <row r="46" spans="1:11" x14ac:dyDescent="0.3">
      <c r="A46">
        <v>46</v>
      </c>
      <c r="B46" t="s">
        <v>65</v>
      </c>
      <c r="C46" t="s">
        <v>15</v>
      </c>
      <c r="D46">
        <v>0.6</v>
      </c>
      <c r="E46">
        <v>20</v>
      </c>
      <c r="F46" t="s">
        <v>62</v>
      </c>
      <c r="G46">
        <v>50.636868999999997</v>
      </c>
      <c r="H46">
        <v>14.844555</v>
      </c>
      <c r="I46" t="s">
        <v>61</v>
      </c>
      <c r="J46" s="12">
        <v>45352</v>
      </c>
      <c r="K46" t="s">
        <v>14</v>
      </c>
    </row>
    <row r="47" spans="1:11" x14ac:dyDescent="0.3">
      <c r="A47">
        <v>47</v>
      </c>
      <c r="B47" t="s">
        <v>65</v>
      </c>
      <c r="C47" t="s">
        <v>15</v>
      </c>
      <c r="D47">
        <v>0.6</v>
      </c>
      <c r="E47">
        <v>20.985294117647001</v>
      </c>
      <c r="F47" t="s">
        <v>59</v>
      </c>
      <c r="G47">
        <v>50.644733000000002</v>
      </c>
      <c r="H47">
        <v>14.835753</v>
      </c>
      <c r="I47" t="s">
        <v>61</v>
      </c>
      <c r="J47" s="12">
        <v>45352</v>
      </c>
      <c r="K47" t="s">
        <v>14</v>
      </c>
    </row>
    <row r="48" spans="1:11" x14ac:dyDescent="0.3">
      <c r="A48">
        <v>48</v>
      </c>
      <c r="B48" t="s">
        <v>65</v>
      </c>
      <c r="C48" t="s">
        <v>15</v>
      </c>
      <c r="D48">
        <v>1.2</v>
      </c>
      <c r="E48">
        <v>31</v>
      </c>
      <c r="F48" t="s">
        <v>59</v>
      </c>
      <c r="G48">
        <v>50.635765999999997</v>
      </c>
      <c r="H48">
        <v>14.844246999999999</v>
      </c>
      <c r="I48" t="s">
        <v>61</v>
      </c>
      <c r="J48" s="12">
        <v>45352</v>
      </c>
      <c r="K48" t="s">
        <v>14</v>
      </c>
    </row>
    <row r="49" spans="1:11" x14ac:dyDescent="0.3">
      <c r="A49">
        <v>49</v>
      </c>
      <c r="B49" t="s">
        <v>64</v>
      </c>
      <c r="C49" t="s">
        <v>13</v>
      </c>
      <c r="D49">
        <v>0.27500000000000002</v>
      </c>
      <c r="E49">
        <v>23</v>
      </c>
      <c r="F49" t="s">
        <v>59</v>
      </c>
      <c r="G49">
        <v>48.185352999999999</v>
      </c>
      <c r="H49">
        <v>17.083220000000001</v>
      </c>
      <c r="I49" t="s">
        <v>61</v>
      </c>
      <c r="J49" s="12">
        <v>45352</v>
      </c>
      <c r="K49" t="s">
        <v>14</v>
      </c>
    </row>
    <row r="50" spans="1:11" x14ac:dyDescent="0.3">
      <c r="A50">
        <v>50</v>
      </c>
      <c r="B50" t="s">
        <v>65</v>
      </c>
      <c r="C50" t="s">
        <v>15</v>
      </c>
      <c r="D50">
        <v>0.9</v>
      </c>
      <c r="E50">
        <v>22</v>
      </c>
      <c r="F50" t="s">
        <v>59</v>
      </c>
      <c r="G50">
        <v>50.642842999999999</v>
      </c>
      <c r="H50">
        <v>14.841240000000001</v>
      </c>
      <c r="I50" t="s">
        <v>61</v>
      </c>
      <c r="J50" s="12">
        <v>45352</v>
      </c>
      <c r="K50" t="s">
        <v>14</v>
      </c>
    </row>
    <row r="51" spans="1:11" x14ac:dyDescent="0.3">
      <c r="A51">
        <v>63</v>
      </c>
      <c r="B51" t="s">
        <v>63</v>
      </c>
      <c r="C51" t="s">
        <v>7</v>
      </c>
      <c r="D51">
        <v>23</v>
      </c>
      <c r="E51">
        <v>78</v>
      </c>
      <c r="F51" t="s">
        <v>62</v>
      </c>
      <c r="G51">
        <v>48.504128000000001</v>
      </c>
      <c r="H51">
        <v>20.568479</v>
      </c>
      <c r="I51" t="s">
        <v>61</v>
      </c>
      <c r="J51" s="12">
        <v>45353</v>
      </c>
      <c r="K51" t="s">
        <v>6</v>
      </c>
    </row>
    <row r="52" spans="1:11" x14ac:dyDescent="0.3">
      <c r="A52">
        <v>64</v>
      </c>
      <c r="B52" t="s">
        <v>63</v>
      </c>
      <c r="C52" t="s">
        <v>4</v>
      </c>
      <c r="D52">
        <v>29</v>
      </c>
      <c r="E52">
        <v>94</v>
      </c>
      <c r="F52" t="s">
        <v>59</v>
      </c>
      <c r="G52">
        <v>52.809851000000002</v>
      </c>
      <c r="H52">
        <v>23.858070999999999</v>
      </c>
      <c r="I52" t="s">
        <v>61</v>
      </c>
      <c r="J52" s="12">
        <v>45353</v>
      </c>
      <c r="K52" t="s">
        <v>6</v>
      </c>
    </row>
    <row r="53" spans="1:11" x14ac:dyDescent="0.3">
      <c r="A53">
        <v>65</v>
      </c>
      <c r="B53" t="s">
        <v>64</v>
      </c>
      <c r="C53" t="s">
        <v>11</v>
      </c>
      <c r="D53">
        <v>0.24399999999999999</v>
      </c>
      <c r="E53">
        <v>22</v>
      </c>
      <c r="F53" t="s">
        <v>62</v>
      </c>
      <c r="I53" t="s">
        <v>61</v>
      </c>
      <c r="J53" s="12">
        <v>45353</v>
      </c>
      <c r="K53" t="s">
        <v>12</v>
      </c>
    </row>
    <row r="54" spans="1:11" x14ac:dyDescent="0.3">
      <c r="A54">
        <v>66</v>
      </c>
      <c r="B54" t="s">
        <v>64</v>
      </c>
      <c r="C54" t="s">
        <v>11</v>
      </c>
      <c r="D54">
        <v>0.29899999999999999</v>
      </c>
      <c r="E54">
        <v>21</v>
      </c>
      <c r="F54" t="s">
        <v>59</v>
      </c>
      <c r="I54" t="s">
        <v>61</v>
      </c>
      <c r="J54" s="12">
        <v>45353</v>
      </c>
      <c r="K54" t="s">
        <v>12</v>
      </c>
    </row>
    <row r="55" spans="1:11" x14ac:dyDescent="0.3">
      <c r="A55">
        <v>67</v>
      </c>
      <c r="B55" t="s">
        <v>64</v>
      </c>
      <c r="C55" t="s">
        <v>11</v>
      </c>
      <c r="D55">
        <v>0.28399999999999997</v>
      </c>
      <c r="E55">
        <v>20</v>
      </c>
      <c r="F55" t="s">
        <v>62</v>
      </c>
      <c r="I55" t="s">
        <v>61</v>
      </c>
      <c r="J55" s="12">
        <v>45353</v>
      </c>
      <c r="K55" t="s">
        <v>12</v>
      </c>
    </row>
    <row r="56" spans="1:11" x14ac:dyDescent="0.3">
      <c r="A56">
        <v>68</v>
      </c>
      <c r="B56" t="s">
        <v>64</v>
      </c>
      <c r="C56" t="s">
        <v>11</v>
      </c>
      <c r="D56">
        <v>0.28899999999999998</v>
      </c>
      <c r="E56">
        <v>20</v>
      </c>
      <c r="F56" t="s">
        <v>62</v>
      </c>
      <c r="I56" t="s">
        <v>61</v>
      </c>
      <c r="J56" s="12">
        <v>45353</v>
      </c>
      <c r="K56" t="s">
        <v>12</v>
      </c>
    </row>
    <row r="57" spans="1:11" x14ac:dyDescent="0.3">
      <c r="A57">
        <v>69</v>
      </c>
      <c r="B57" t="s">
        <v>64</v>
      </c>
      <c r="C57" t="s">
        <v>11</v>
      </c>
      <c r="D57">
        <v>0.28399999999999997</v>
      </c>
      <c r="E57">
        <v>21</v>
      </c>
      <c r="F57" t="s">
        <v>59</v>
      </c>
      <c r="I57" t="s">
        <v>61</v>
      </c>
      <c r="J57" s="12">
        <v>45353</v>
      </c>
      <c r="K57" t="s">
        <v>12</v>
      </c>
    </row>
    <row r="58" spans="1:11" x14ac:dyDescent="0.3">
      <c r="A58">
        <v>70</v>
      </c>
      <c r="B58" t="s">
        <v>64</v>
      </c>
      <c r="C58" t="s">
        <v>11</v>
      </c>
      <c r="D58">
        <v>0.314</v>
      </c>
      <c r="E58">
        <v>22</v>
      </c>
      <c r="F58" t="s">
        <v>59</v>
      </c>
      <c r="I58" t="s">
        <v>61</v>
      </c>
      <c r="J58" s="12">
        <v>45353</v>
      </c>
      <c r="K58" t="s">
        <v>12</v>
      </c>
    </row>
    <row r="59" spans="1:11" x14ac:dyDescent="0.3">
      <c r="A59">
        <v>71</v>
      </c>
      <c r="B59" t="s">
        <v>64</v>
      </c>
      <c r="C59" t="s">
        <v>11</v>
      </c>
      <c r="D59">
        <v>0.26200000000000001</v>
      </c>
      <c r="E59">
        <v>19</v>
      </c>
      <c r="F59" t="s">
        <v>62</v>
      </c>
      <c r="I59" t="s">
        <v>61</v>
      </c>
      <c r="J59" s="12">
        <v>45353</v>
      </c>
      <c r="K59" t="s">
        <v>12</v>
      </c>
    </row>
    <row r="60" spans="1:11" x14ac:dyDescent="0.3">
      <c r="A60">
        <v>72</v>
      </c>
      <c r="B60" t="s">
        <v>64</v>
      </c>
      <c r="C60" t="s">
        <v>11</v>
      </c>
      <c r="D60">
        <v>0.25800000000000001</v>
      </c>
      <c r="E60">
        <v>20</v>
      </c>
      <c r="F60" t="s">
        <v>59</v>
      </c>
      <c r="I60" t="s">
        <v>61</v>
      </c>
      <c r="J60" s="12">
        <v>45353</v>
      </c>
      <c r="K60" t="s">
        <v>12</v>
      </c>
    </row>
    <row r="61" spans="1:11" x14ac:dyDescent="0.3">
      <c r="A61">
        <v>73</v>
      </c>
      <c r="B61" t="s">
        <v>64</v>
      </c>
      <c r="C61" t="s">
        <v>11</v>
      </c>
      <c r="D61">
        <v>0.29699999999999999</v>
      </c>
      <c r="E61">
        <v>21</v>
      </c>
      <c r="F61" t="s">
        <v>59</v>
      </c>
      <c r="I61" t="s">
        <v>61</v>
      </c>
      <c r="J61" s="12">
        <v>45353</v>
      </c>
      <c r="K61" t="s">
        <v>12</v>
      </c>
    </row>
    <row r="62" spans="1:11" x14ac:dyDescent="0.3">
      <c r="A62">
        <v>74</v>
      </c>
      <c r="B62" t="s">
        <v>64</v>
      </c>
      <c r="C62" t="s">
        <v>11</v>
      </c>
      <c r="D62">
        <v>0.255</v>
      </c>
      <c r="E62">
        <v>22</v>
      </c>
      <c r="F62" t="s">
        <v>62</v>
      </c>
      <c r="I62" t="s">
        <v>61</v>
      </c>
      <c r="J62" s="12">
        <v>45353</v>
      </c>
      <c r="K62" t="s">
        <v>12</v>
      </c>
    </row>
    <row r="63" spans="1:11" x14ac:dyDescent="0.3">
      <c r="A63">
        <v>75</v>
      </c>
      <c r="B63" t="s">
        <v>64</v>
      </c>
      <c r="C63" t="s">
        <v>11</v>
      </c>
      <c r="D63">
        <v>0.28000000000000003</v>
      </c>
      <c r="E63">
        <v>22</v>
      </c>
      <c r="F63" t="s">
        <v>59</v>
      </c>
      <c r="I63" t="s">
        <v>61</v>
      </c>
      <c r="J63" s="12">
        <v>45353</v>
      </c>
      <c r="K63" t="s">
        <v>12</v>
      </c>
    </row>
    <row r="64" spans="1:11" x14ac:dyDescent="0.3">
      <c r="A64">
        <v>76</v>
      </c>
      <c r="B64" t="s">
        <v>64</v>
      </c>
      <c r="C64" t="s">
        <v>11</v>
      </c>
      <c r="D64">
        <v>0.29299999999999998</v>
      </c>
      <c r="E64">
        <v>22</v>
      </c>
      <c r="F64" t="s">
        <v>59</v>
      </c>
      <c r="I64" t="s">
        <v>61</v>
      </c>
      <c r="J64" s="12">
        <v>45353</v>
      </c>
      <c r="K64" t="s">
        <v>12</v>
      </c>
    </row>
    <row r="65" spans="1:11" x14ac:dyDescent="0.3">
      <c r="A65">
        <v>77</v>
      </c>
      <c r="B65" t="s">
        <v>64</v>
      </c>
      <c r="C65" t="s">
        <v>11</v>
      </c>
      <c r="D65">
        <v>0.29499999999999998</v>
      </c>
      <c r="E65">
        <v>20</v>
      </c>
      <c r="F65" t="s">
        <v>59</v>
      </c>
      <c r="I65" t="s">
        <v>61</v>
      </c>
      <c r="J65" s="12">
        <v>45353</v>
      </c>
      <c r="K65" t="s">
        <v>12</v>
      </c>
    </row>
    <row r="66" spans="1:11" x14ac:dyDescent="0.3">
      <c r="A66">
        <v>78</v>
      </c>
      <c r="B66" t="s">
        <v>64</v>
      </c>
      <c r="C66" t="s">
        <v>11</v>
      </c>
      <c r="D66">
        <v>0.28000000000000003</v>
      </c>
      <c r="E66">
        <v>20</v>
      </c>
      <c r="F66" t="s">
        <v>59</v>
      </c>
      <c r="I66" t="s">
        <v>61</v>
      </c>
      <c r="J66" s="12">
        <v>45353</v>
      </c>
      <c r="K66" t="s">
        <v>12</v>
      </c>
    </row>
    <row r="67" spans="1:11" x14ac:dyDescent="0.3">
      <c r="A67">
        <v>79</v>
      </c>
      <c r="B67" t="s">
        <v>64</v>
      </c>
      <c r="C67" t="s">
        <v>11</v>
      </c>
      <c r="D67">
        <v>0.28100000000000003</v>
      </c>
      <c r="E67">
        <v>20</v>
      </c>
      <c r="F67" t="s">
        <v>59</v>
      </c>
      <c r="I67" t="s">
        <v>61</v>
      </c>
      <c r="J67" s="12">
        <v>45353</v>
      </c>
      <c r="K67" t="s">
        <v>12</v>
      </c>
    </row>
    <row r="68" spans="1:11" x14ac:dyDescent="0.3">
      <c r="A68">
        <v>80</v>
      </c>
      <c r="B68" t="s">
        <v>64</v>
      </c>
      <c r="C68" t="s">
        <v>11</v>
      </c>
      <c r="D68">
        <v>0.245</v>
      </c>
      <c r="E68">
        <v>21</v>
      </c>
      <c r="F68" t="s">
        <v>62</v>
      </c>
      <c r="I68" t="s">
        <v>61</v>
      </c>
      <c r="J68" s="12">
        <v>45353</v>
      </c>
      <c r="K68" t="s">
        <v>12</v>
      </c>
    </row>
    <row r="69" spans="1:11" x14ac:dyDescent="0.3">
      <c r="A69">
        <v>81</v>
      </c>
      <c r="B69" t="s">
        <v>64</v>
      </c>
      <c r="C69" t="s">
        <v>11</v>
      </c>
      <c r="D69">
        <v>0.28299999999999997</v>
      </c>
      <c r="E69">
        <v>21</v>
      </c>
      <c r="F69" t="s">
        <v>59</v>
      </c>
      <c r="I69" t="s">
        <v>61</v>
      </c>
      <c r="J69" s="12">
        <v>45353</v>
      </c>
      <c r="K69" t="s">
        <v>12</v>
      </c>
    </row>
    <row r="70" spans="1:11" x14ac:dyDescent="0.3">
      <c r="A70">
        <v>82</v>
      </c>
      <c r="B70" t="s">
        <v>64</v>
      </c>
      <c r="C70" t="s">
        <v>11</v>
      </c>
      <c r="D70">
        <v>0.27</v>
      </c>
      <c r="E70">
        <v>19</v>
      </c>
      <c r="F70" t="s">
        <v>59</v>
      </c>
      <c r="I70" t="s">
        <v>61</v>
      </c>
      <c r="J70" s="12">
        <v>45353</v>
      </c>
      <c r="K70" t="s">
        <v>12</v>
      </c>
    </row>
    <row r="71" spans="1:11" x14ac:dyDescent="0.3">
      <c r="A71">
        <v>83</v>
      </c>
      <c r="B71" t="s">
        <v>64</v>
      </c>
      <c r="C71" t="s">
        <v>11</v>
      </c>
      <c r="D71">
        <v>0.315</v>
      </c>
      <c r="E71">
        <v>22</v>
      </c>
      <c r="F71" t="s">
        <v>59</v>
      </c>
      <c r="I71" t="s">
        <v>61</v>
      </c>
      <c r="J71" s="12">
        <v>45353</v>
      </c>
      <c r="K71" t="s">
        <v>12</v>
      </c>
    </row>
    <row r="72" spans="1:11" x14ac:dyDescent="0.3">
      <c r="A72">
        <v>84</v>
      </c>
      <c r="B72" t="s">
        <v>64</v>
      </c>
      <c r="C72" t="s">
        <v>11</v>
      </c>
      <c r="D72">
        <v>0.254</v>
      </c>
      <c r="E72">
        <v>17</v>
      </c>
      <c r="F72" t="s">
        <v>62</v>
      </c>
      <c r="I72" t="s">
        <v>61</v>
      </c>
      <c r="J72" s="12">
        <v>45353</v>
      </c>
      <c r="K72" t="s">
        <v>12</v>
      </c>
    </row>
    <row r="73" spans="1:11" x14ac:dyDescent="0.3">
      <c r="A73">
        <v>85</v>
      </c>
      <c r="B73" t="s">
        <v>64</v>
      </c>
      <c r="C73" t="s">
        <v>11</v>
      </c>
      <c r="D73">
        <v>0.249</v>
      </c>
      <c r="E73">
        <v>19</v>
      </c>
      <c r="F73" t="s">
        <v>59</v>
      </c>
      <c r="I73" t="s">
        <v>61</v>
      </c>
      <c r="J73" s="12">
        <v>45353</v>
      </c>
      <c r="K73" t="s">
        <v>12</v>
      </c>
    </row>
    <row r="74" spans="1:11" x14ac:dyDescent="0.3">
      <c r="A74">
        <v>86</v>
      </c>
      <c r="B74" t="s">
        <v>64</v>
      </c>
      <c r="C74" t="s">
        <v>11</v>
      </c>
      <c r="D74">
        <v>0.29799999999999999</v>
      </c>
      <c r="E74">
        <v>21</v>
      </c>
      <c r="F74" t="s">
        <v>59</v>
      </c>
      <c r="I74" t="s">
        <v>61</v>
      </c>
      <c r="J74" s="12">
        <v>45353</v>
      </c>
      <c r="K74" t="s">
        <v>12</v>
      </c>
    </row>
    <row r="75" spans="1:11" x14ac:dyDescent="0.3">
      <c r="A75">
        <v>87</v>
      </c>
      <c r="B75" t="s">
        <v>64</v>
      </c>
      <c r="C75" t="s">
        <v>11</v>
      </c>
      <c r="D75">
        <v>0.314</v>
      </c>
      <c r="E75">
        <v>19</v>
      </c>
      <c r="F75" t="s">
        <v>62</v>
      </c>
      <c r="I75" t="s">
        <v>61</v>
      </c>
      <c r="J75" s="12">
        <v>45353</v>
      </c>
      <c r="K75" t="s">
        <v>12</v>
      </c>
    </row>
    <row r="76" spans="1:11" x14ac:dyDescent="0.3">
      <c r="A76">
        <v>89</v>
      </c>
      <c r="B76" t="s">
        <v>64</v>
      </c>
      <c r="C76" t="s">
        <v>11</v>
      </c>
      <c r="D76">
        <v>0.251</v>
      </c>
      <c r="E76">
        <v>19</v>
      </c>
      <c r="F76" t="s">
        <v>59</v>
      </c>
      <c r="I76" t="s">
        <v>61</v>
      </c>
      <c r="J76" s="12">
        <v>45353</v>
      </c>
      <c r="K76" t="s">
        <v>12</v>
      </c>
    </row>
    <row r="77" spans="1:11" x14ac:dyDescent="0.3">
      <c r="A77">
        <v>90</v>
      </c>
      <c r="B77" t="s">
        <v>64</v>
      </c>
      <c r="C77" t="s">
        <v>11</v>
      </c>
      <c r="D77">
        <v>0.29299999999999998</v>
      </c>
      <c r="E77">
        <v>20</v>
      </c>
      <c r="F77" t="s">
        <v>62</v>
      </c>
      <c r="I77" t="s">
        <v>61</v>
      </c>
      <c r="J77" s="12">
        <v>45353</v>
      </c>
      <c r="K77" t="s">
        <v>12</v>
      </c>
    </row>
    <row r="78" spans="1:11" x14ac:dyDescent="0.3">
      <c r="A78">
        <v>91</v>
      </c>
      <c r="B78" t="s">
        <v>64</v>
      </c>
      <c r="C78" t="s">
        <v>11</v>
      </c>
      <c r="D78">
        <v>0.30099999999999999</v>
      </c>
      <c r="E78">
        <v>20</v>
      </c>
      <c r="F78" t="s">
        <v>59</v>
      </c>
      <c r="I78" t="s">
        <v>61</v>
      </c>
      <c r="J78" s="12">
        <v>45353</v>
      </c>
      <c r="K78" t="s">
        <v>12</v>
      </c>
    </row>
    <row r="79" spans="1:11" x14ac:dyDescent="0.3">
      <c r="A79">
        <v>92</v>
      </c>
      <c r="B79" t="s">
        <v>64</v>
      </c>
      <c r="C79" t="s">
        <v>11</v>
      </c>
      <c r="D79">
        <v>0.27100000000000002</v>
      </c>
      <c r="E79">
        <v>17</v>
      </c>
      <c r="F79" t="s">
        <v>59</v>
      </c>
      <c r="I79" t="s">
        <v>61</v>
      </c>
      <c r="J79" s="12">
        <v>45353</v>
      </c>
      <c r="K79" t="s">
        <v>12</v>
      </c>
    </row>
    <row r="80" spans="1:11" x14ac:dyDescent="0.3">
      <c r="A80">
        <v>93</v>
      </c>
      <c r="B80" t="s">
        <v>64</v>
      </c>
      <c r="C80" t="s">
        <v>11</v>
      </c>
      <c r="D80">
        <v>0.27500000000000002</v>
      </c>
      <c r="E80">
        <v>20</v>
      </c>
      <c r="F80" t="s">
        <v>59</v>
      </c>
      <c r="I80" t="s">
        <v>61</v>
      </c>
      <c r="J80" s="12">
        <v>45353</v>
      </c>
      <c r="K80" t="s">
        <v>12</v>
      </c>
    </row>
    <row r="81" spans="1:11" x14ac:dyDescent="0.3">
      <c r="A81">
        <v>95</v>
      </c>
      <c r="B81" t="s">
        <v>64</v>
      </c>
      <c r="C81" t="s">
        <v>11</v>
      </c>
      <c r="D81">
        <v>0.30399999999999999</v>
      </c>
      <c r="E81">
        <v>21</v>
      </c>
      <c r="F81" t="s">
        <v>59</v>
      </c>
      <c r="I81" t="s">
        <v>61</v>
      </c>
      <c r="J81" s="12">
        <v>45353</v>
      </c>
      <c r="K81" t="s">
        <v>12</v>
      </c>
    </row>
    <row r="82" spans="1:11" x14ac:dyDescent="0.3">
      <c r="A82">
        <v>96</v>
      </c>
      <c r="B82" t="s">
        <v>64</v>
      </c>
      <c r="C82" t="s">
        <v>11</v>
      </c>
      <c r="D82">
        <v>0.308</v>
      </c>
      <c r="E82">
        <v>20</v>
      </c>
      <c r="F82" t="s">
        <v>59</v>
      </c>
      <c r="I82" t="s">
        <v>61</v>
      </c>
      <c r="J82" s="12">
        <v>45353</v>
      </c>
      <c r="K82" t="s">
        <v>12</v>
      </c>
    </row>
    <row r="83" spans="1:11" x14ac:dyDescent="0.3">
      <c r="A83">
        <v>97</v>
      </c>
      <c r="B83" t="s">
        <v>64</v>
      </c>
      <c r="C83" t="s">
        <v>11</v>
      </c>
      <c r="D83">
        <v>0.24</v>
      </c>
      <c r="E83">
        <v>21</v>
      </c>
      <c r="F83" t="s">
        <v>59</v>
      </c>
      <c r="I83" t="s">
        <v>61</v>
      </c>
      <c r="J83" s="12">
        <v>45353</v>
      </c>
      <c r="K83" t="s">
        <v>12</v>
      </c>
    </row>
    <row r="84" spans="1:11" x14ac:dyDescent="0.3">
      <c r="A84">
        <v>98</v>
      </c>
      <c r="B84" t="s">
        <v>58</v>
      </c>
      <c r="C84" t="s">
        <v>15</v>
      </c>
      <c r="D84">
        <v>402</v>
      </c>
      <c r="E84">
        <v>162</v>
      </c>
      <c r="F84" t="s">
        <v>62</v>
      </c>
      <c r="G84">
        <v>50.641007999999999</v>
      </c>
      <c r="H84">
        <v>14.836529000000001</v>
      </c>
      <c r="I84" t="s">
        <v>61</v>
      </c>
      <c r="J84" s="12">
        <v>45353</v>
      </c>
      <c r="K84" t="s">
        <v>14</v>
      </c>
    </row>
    <row r="85" spans="1:11" x14ac:dyDescent="0.3">
      <c r="A85">
        <v>99</v>
      </c>
      <c r="B85" t="s">
        <v>58</v>
      </c>
      <c r="C85" t="s">
        <v>15</v>
      </c>
      <c r="D85">
        <v>535</v>
      </c>
      <c r="E85">
        <v>295</v>
      </c>
      <c r="F85" t="s">
        <v>59</v>
      </c>
      <c r="G85">
        <v>50.643405999999999</v>
      </c>
      <c r="H85">
        <v>14.836494999999999</v>
      </c>
      <c r="I85" t="s">
        <v>61</v>
      </c>
      <c r="J85" s="12">
        <v>45353</v>
      </c>
      <c r="K85" t="s">
        <v>14</v>
      </c>
    </row>
    <row r="86" spans="1:11" x14ac:dyDescent="0.3">
      <c r="A86">
        <v>100</v>
      </c>
      <c r="B86" t="s">
        <v>58</v>
      </c>
      <c r="C86" t="s">
        <v>15</v>
      </c>
      <c r="D86">
        <v>572</v>
      </c>
      <c r="E86">
        <v>251</v>
      </c>
      <c r="F86" t="s">
        <v>62</v>
      </c>
      <c r="G86">
        <v>50.638945</v>
      </c>
      <c r="H86">
        <v>14.845452</v>
      </c>
      <c r="I86" t="s">
        <v>61</v>
      </c>
      <c r="J86" s="12">
        <v>45353</v>
      </c>
      <c r="K86" t="s">
        <v>14</v>
      </c>
    </row>
    <row r="87" spans="1:11" x14ac:dyDescent="0.3">
      <c r="A87">
        <v>101</v>
      </c>
      <c r="B87" t="s">
        <v>65</v>
      </c>
      <c r="C87" t="s">
        <v>15</v>
      </c>
      <c r="D87">
        <v>0.9</v>
      </c>
      <c r="E87">
        <v>20</v>
      </c>
      <c r="F87" t="s">
        <v>62</v>
      </c>
      <c r="G87">
        <v>50.639868999999997</v>
      </c>
      <c r="H87">
        <v>14.849702000000001</v>
      </c>
      <c r="I87" t="s">
        <v>61</v>
      </c>
      <c r="J87" s="12">
        <v>45353</v>
      </c>
      <c r="K87" t="s">
        <v>14</v>
      </c>
    </row>
    <row r="88" spans="1:11" x14ac:dyDescent="0.3">
      <c r="A88">
        <v>102</v>
      </c>
      <c r="B88" t="s">
        <v>65</v>
      </c>
      <c r="C88" t="s">
        <v>15</v>
      </c>
      <c r="D88">
        <v>0.7</v>
      </c>
      <c r="E88">
        <v>16</v>
      </c>
      <c r="F88" t="s">
        <v>62</v>
      </c>
      <c r="G88">
        <v>50.643039000000002</v>
      </c>
      <c r="H88">
        <v>14.840662</v>
      </c>
      <c r="I88" t="s">
        <v>61</v>
      </c>
      <c r="J88" s="12">
        <v>45353</v>
      </c>
      <c r="K88" t="s">
        <v>14</v>
      </c>
    </row>
    <row r="89" spans="1:11" x14ac:dyDescent="0.3">
      <c r="A89">
        <v>103</v>
      </c>
      <c r="B89" t="s">
        <v>65</v>
      </c>
      <c r="C89" t="s">
        <v>15</v>
      </c>
      <c r="D89">
        <v>0.7</v>
      </c>
      <c r="E89">
        <v>14</v>
      </c>
      <c r="F89" t="s">
        <v>62</v>
      </c>
      <c r="G89">
        <v>50.637878999999998</v>
      </c>
      <c r="H89">
        <v>14.838429</v>
      </c>
      <c r="I89" t="s">
        <v>61</v>
      </c>
      <c r="J89" s="12">
        <v>45353</v>
      </c>
      <c r="K89" t="s">
        <v>14</v>
      </c>
    </row>
    <row r="90" spans="1:11" x14ac:dyDescent="0.3">
      <c r="A90">
        <v>104</v>
      </c>
      <c r="B90" t="s">
        <v>65</v>
      </c>
      <c r="C90" t="s">
        <v>15</v>
      </c>
      <c r="D90">
        <v>1.1000000000000001</v>
      </c>
      <c r="E90">
        <v>32</v>
      </c>
      <c r="F90" t="s">
        <v>59</v>
      </c>
      <c r="G90">
        <v>50.643253999999999</v>
      </c>
      <c r="H90">
        <v>14.843730000000001</v>
      </c>
      <c r="I90" t="s">
        <v>61</v>
      </c>
      <c r="J90" s="12">
        <v>45353</v>
      </c>
      <c r="K90" t="s">
        <v>14</v>
      </c>
    </row>
    <row r="91" spans="1:11" x14ac:dyDescent="0.3">
      <c r="A91">
        <v>105</v>
      </c>
      <c r="B91" t="s">
        <v>65</v>
      </c>
      <c r="C91" t="s">
        <v>15</v>
      </c>
      <c r="D91">
        <v>0.5</v>
      </c>
      <c r="E91">
        <v>20</v>
      </c>
      <c r="F91" t="s">
        <v>59</v>
      </c>
      <c r="G91">
        <v>50.643853999999997</v>
      </c>
      <c r="H91">
        <v>14.837154999999999</v>
      </c>
      <c r="I91" t="s">
        <v>61</v>
      </c>
      <c r="J91" s="12">
        <v>45353</v>
      </c>
      <c r="K91" t="s">
        <v>14</v>
      </c>
    </row>
    <row r="92" spans="1:11" x14ac:dyDescent="0.3">
      <c r="A92">
        <v>106</v>
      </c>
      <c r="B92" t="s">
        <v>65</v>
      </c>
      <c r="C92" t="s">
        <v>15</v>
      </c>
      <c r="D92">
        <v>1.1000000000000001</v>
      </c>
      <c r="E92">
        <v>22</v>
      </c>
      <c r="F92" t="s">
        <v>62</v>
      </c>
      <c r="G92">
        <v>50.635584000000001</v>
      </c>
      <c r="H92">
        <v>14.837071999999999</v>
      </c>
      <c r="I92" t="s">
        <v>61</v>
      </c>
      <c r="J92" s="12">
        <v>45353</v>
      </c>
      <c r="K92" t="s">
        <v>14</v>
      </c>
    </row>
    <row r="93" spans="1:11" x14ac:dyDescent="0.3">
      <c r="A93">
        <v>107</v>
      </c>
      <c r="B93" t="s">
        <v>65</v>
      </c>
      <c r="C93" t="s">
        <v>15</v>
      </c>
      <c r="D93">
        <v>1</v>
      </c>
      <c r="E93">
        <v>20</v>
      </c>
      <c r="F93" t="s">
        <v>62</v>
      </c>
      <c r="G93">
        <v>50.642722999999997</v>
      </c>
      <c r="H93">
        <v>14.837229000000001</v>
      </c>
      <c r="I93" t="s">
        <v>61</v>
      </c>
      <c r="J93" s="12">
        <v>45353</v>
      </c>
      <c r="K93" t="s">
        <v>14</v>
      </c>
    </row>
    <row r="94" spans="1:11" x14ac:dyDescent="0.3">
      <c r="A94">
        <v>108</v>
      </c>
      <c r="B94" t="s">
        <v>65</v>
      </c>
      <c r="C94" t="s">
        <v>15</v>
      </c>
      <c r="D94">
        <v>0.7</v>
      </c>
      <c r="E94">
        <v>13</v>
      </c>
      <c r="F94" t="s">
        <v>62</v>
      </c>
      <c r="G94">
        <v>50.639389000000001</v>
      </c>
      <c r="H94">
        <v>14.8444</v>
      </c>
      <c r="I94" t="s">
        <v>61</v>
      </c>
      <c r="J94" s="12">
        <v>45353</v>
      </c>
      <c r="K94" t="s">
        <v>14</v>
      </c>
    </row>
    <row r="95" spans="1:11" x14ac:dyDescent="0.3">
      <c r="A95">
        <v>109</v>
      </c>
      <c r="B95" t="s">
        <v>63</v>
      </c>
      <c r="C95" t="s">
        <v>13</v>
      </c>
      <c r="D95">
        <v>30</v>
      </c>
      <c r="E95">
        <v>120</v>
      </c>
      <c r="F95" t="s">
        <v>59</v>
      </c>
      <c r="G95">
        <v>48.409308000000003</v>
      </c>
      <c r="H95">
        <v>18.832605999999998</v>
      </c>
      <c r="I95" t="s">
        <v>61</v>
      </c>
      <c r="J95" s="12">
        <v>45353</v>
      </c>
      <c r="K95" t="s">
        <v>14</v>
      </c>
    </row>
    <row r="96" spans="1:11" x14ac:dyDescent="0.3">
      <c r="A96">
        <v>110</v>
      </c>
      <c r="B96" t="s">
        <v>64</v>
      </c>
      <c r="C96" t="s">
        <v>7</v>
      </c>
      <c r="D96">
        <v>0.26200000000000001</v>
      </c>
      <c r="E96">
        <v>20</v>
      </c>
      <c r="F96" t="s">
        <v>62</v>
      </c>
      <c r="G96">
        <v>47.510798999999999</v>
      </c>
      <c r="H96">
        <v>18.945582999999999</v>
      </c>
      <c r="I96" t="s">
        <v>61</v>
      </c>
      <c r="J96" s="12">
        <v>45354</v>
      </c>
      <c r="K96" t="s">
        <v>6</v>
      </c>
    </row>
    <row r="97" spans="1:11" x14ac:dyDescent="0.3">
      <c r="A97">
        <v>112</v>
      </c>
      <c r="B97" t="s">
        <v>65</v>
      </c>
      <c r="C97" t="s">
        <v>15</v>
      </c>
      <c r="D97">
        <v>0.6</v>
      </c>
      <c r="E97">
        <v>20</v>
      </c>
      <c r="F97" t="s">
        <v>59</v>
      </c>
      <c r="G97">
        <v>50.637374999999999</v>
      </c>
      <c r="H97">
        <v>14.839784999999999</v>
      </c>
      <c r="I97" t="s">
        <v>61</v>
      </c>
      <c r="J97" s="12">
        <v>45354</v>
      </c>
      <c r="K97" t="s">
        <v>14</v>
      </c>
    </row>
    <row r="98" spans="1:11" x14ac:dyDescent="0.3">
      <c r="A98">
        <v>113</v>
      </c>
      <c r="B98" t="s">
        <v>63</v>
      </c>
      <c r="C98" t="s">
        <v>13</v>
      </c>
      <c r="D98">
        <v>28</v>
      </c>
      <c r="E98">
        <v>131</v>
      </c>
      <c r="F98" t="s">
        <v>59</v>
      </c>
      <c r="G98">
        <v>48.406303999999999</v>
      </c>
      <c r="H98">
        <v>18.842851</v>
      </c>
      <c r="I98" t="s">
        <v>61</v>
      </c>
      <c r="J98" s="12">
        <v>45354</v>
      </c>
      <c r="K98" t="s">
        <v>14</v>
      </c>
    </row>
    <row r="99" spans="1:11" x14ac:dyDescent="0.3">
      <c r="A99">
        <v>114</v>
      </c>
      <c r="B99" t="s">
        <v>64</v>
      </c>
      <c r="C99" t="s">
        <v>13</v>
      </c>
      <c r="D99">
        <v>0.28100000000000003</v>
      </c>
      <c r="E99">
        <v>18</v>
      </c>
      <c r="F99" t="s">
        <v>59</v>
      </c>
      <c r="G99">
        <v>48.187690000000003</v>
      </c>
      <c r="H99">
        <v>17.086471</v>
      </c>
      <c r="I99" t="s">
        <v>61</v>
      </c>
      <c r="J99" s="12">
        <v>45354</v>
      </c>
      <c r="K99" t="s">
        <v>14</v>
      </c>
    </row>
    <row r="100" spans="1:11" x14ac:dyDescent="0.3">
      <c r="A100">
        <v>116</v>
      </c>
      <c r="B100" t="s">
        <v>58</v>
      </c>
      <c r="C100" t="s">
        <v>4</v>
      </c>
      <c r="D100">
        <v>650</v>
      </c>
      <c r="E100">
        <v>285</v>
      </c>
      <c r="F100" t="s">
        <v>62</v>
      </c>
      <c r="G100">
        <v>52.834741000000001</v>
      </c>
      <c r="H100">
        <v>23.826716000000001</v>
      </c>
      <c r="I100" t="s">
        <v>61</v>
      </c>
      <c r="J100" s="12">
        <v>45355</v>
      </c>
      <c r="K100" t="s">
        <v>6</v>
      </c>
    </row>
    <row r="101" spans="1:11" x14ac:dyDescent="0.3">
      <c r="A101">
        <v>117</v>
      </c>
      <c r="B101" t="s">
        <v>65</v>
      </c>
      <c r="C101" t="s">
        <v>7</v>
      </c>
      <c r="D101">
        <v>1.1000000000000001</v>
      </c>
      <c r="E101">
        <v>24</v>
      </c>
      <c r="F101" t="s">
        <v>59</v>
      </c>
      <c r="G101">
        <v>48.503794999999997</v>
      </c>
      <c r="H101">
        <v>20.555931999999999</v>
      </c>
      <c r="I101" t="s">
        <v>61</v>
      </c>
      <c r="J101" s="12">
        <v>45355</v>
      </c>
      <c r="K101" t="s">
        <v>6</v>
      </c>
    </row>
    <row r="102" spans="1:11" x14ac:dyDescent="0.3">
      <c r="A102">
        <v>118</v>
      </c>
      <c r="B102" t="s">
        <v>65</v>
      </c>
      <c r="C102" t="s">
        <v>7</v>
      </c>
      <c r="D102">
        <v>1.1000000000000001</v>
      </c>
      <c r="E102">
        <v>26</v>
      </c>
      <c r="F102" t="s">
        <v>60</v>
      </c>
      <c r="G102">
        <v>48.503062</v>
      </c>
      <c r="H102">
        <v>20.551697999999998</v>
      </c>
      <c r="I102" t="s">
        <v>61</v>
      </c>
      <c r="J102" s="12">
        <v>45355</v>
      </c>
      <c r="K102" t="s">
        <v>6</v>
      </c>
    </row>
    <row r="103" spans="1:11" x14ac:dyDescent="0.3">
      <c r="A103">
        <v>119</v>
      </c>
      <c r="B103" t="s">
        <v>65</v>
      </c>
      <c r="C103" t="s">
        <v>7</v>
      </c>
      <c r="D103">
        <v>0.8</v>
      </c>
      <c r="E103">
        <v>18</v>
      </c>
      <c r="F103" t="s">
        <v>62</v>
      </c>
      <c r="G103">
        <v>48.503498</v>
      </c>
      <c r="H103">
        <v>20.539662</v>
      </c>
      <c r="I103" t="s">
        <v>61</v>
      </c>
      <c r="J103" s="12">
        <v>45355</v>
      </c>
      <c r="K103" t="s">
        <v>6</v>
      </c>
    </row>
    <row r="104" spans="1:11" x14ac:dyDescent="0.3">
      <c r="A104">
        <v>120</v>
      </c>
      <c r="B104" t="s">
        <v>65</v>
      </c>
      <c r="C104" t="s">
        <v>7</v>
      </c>
      <c r="D104">
        <v>1.2</v>
      </c>
      <c r="E104">
        <v>26</v>
      </c>
      <c r="F104" t="s">
        <v>59</v>
      </c>
      <c r="G104">
        <v>48.509298000000001</v>
      </c>
      <c r="H104">
        <v>20.551977000000001</v>
      </c>
      <c r="I104" t="s">
        <v>61</v>
      </c>
      <c r="J104" s="12">
        <v>45355</v>
      </c>
      <c r="K104" t="s">
        <v>6</v>
      </c>
    </row>
    <row r="105" spans="1:11" x14ac:dyDescent="0.3">
      <c r="A105">
        <v>121</v>
      </c>
      <c r="B105" t="s">
        <v>65</v>
      </c>
      <c r="C105" t="s">
        <v>4</v>
      </c>
      <c r="D105">
        <v>0.9</v>
      </c>
      <c r="E105">
        <v>22</v>
      </c>
      <c r="F105" t="s">
        <v>59</v>
      </c>
      <c r="G105">
        <v>52.214678999999997</v>
      </c>
      <c r="H105">
        <v>21.033021000000002</v>
      </c>
      <c r="I105" t="s">
        <v>61</v>
      </c>
      <c r="J105" s="12">
        <v>45355</v>
      </c>
      <c r="K105" t="s">
        <v>6</v>
      </c>
    </row>
    <row r="106" spans="1:11" x14ac:dyDescent="0.3">
      <c r="A106">
        <v>122</v>
      </c>
      <c r="B106" t="s">
        <v>63</v>
      </c>
      <c r="C106" t="s">
        <v>7</v>
      </c>
      <c r="D106">
        <v>25</v>
      </c>
      <c r="E106">
        <v>89</v>
      </c>
      <c r="F106" t="s">
        <v>59</v>
      </c>
      <c r="G106">
        <v>48.504168999999997</v>
      </c>
      <c r="H106">
        <v>20.559452</v>
      </c>
      <c r="I106" t="s">
        <v>61</v>
      </c>
      <c r="J106" s="12">
        <v>45355</v>
      </c>
      <c r="K106" t="s">
        <v>6</v>
      </c>
    </row>
    <row r="107" spans="1:11" x14ac:dyDescent="0.3">
      <c r="A107">
        <v>123</v>
      </c>
      <c r="B107" t="s">
        <v>64</v>
      </c>
      <c r="C107" t="s">
        <v>7</v>
      </c>
      <c r="D107">
        <v>0.28299999999999997</v>
      </c>
      <c r="E107">
        <v>18</v>
      </c>
      <c r="F107" t="s">
        <v>62</v>
      </c>
      <c r="G107">
        <v>48.505251000000001</v>
      </c>
      <c r="H107">
        <v>20.551473000000001</v>
      </c>
      <c r="I107" t="s">
        <v>61</v>
      </c>
      <c r="J107" s="12">
        <v>45355</v>
      </c>
      <c r="K107" t="s">
        <v>6</v>
      </c>
    </row>
    <row r="108" spans="1:11" x14ac:dyDescent="0.3">
      <c r="A108">
        <v>124</v>
      </c>
      <c r="B108" t="s">
        <v>64</v>
      </c>
      <c r="C108" t="s">
        <v>7</v>
      </c>
      <c r="D108">
        <v>0.307</v>
      </c>
      <c r="E108">
        <v>20.418848167539199</v>
      </c>
      <c r="F108" t="s">
        <v>59</v>
      </c>
      <c r="I108" t="s">
        <v>61</v>
      </c>
      <c r="J108" s="12">
        <v>45355</v>
      </c>
      <c r="K108" t="s">
        <v>6</v>
      </c>
    </row>
    <row r="109" spans="1:11" x14ac:dyDescent="0.3">
      <c r="A109">
        <v>125</v>
      </c>
      <c r="B109" t="s">
        <v>64</v>
      </c>
      <c r="C109" t="s">
        <v>7</v>
      </c>
      <c r="D109">
        <v>0.29599999999999999</v>
      </c>
      <c r="E109">
        <v>22</v>
      </c>
      <c r="F109" t="s">
        <v>59</v>
      </c>
      <c r="G109">
        <v>48.502583999999999</v>
      </c>
      <c r="H109">
        <v>20.532518</v>
      </c>
      <c r="I109" t="s">
        <v>61</v>
      </c>
      <c r="J109" s="12">
        <v>45355</v>
      </c>
      <c r="K109" t="s">
        <v>6</v>
      </c>
    </row>
    <row r="110" spans="1:11" x14ac:dyDescent="0.3">
      <c r="A110">
        <v>126</v>
      </c>
      <c r="B110" t="s">
        <v>64</v>
      </c>
      <c r="C110" t="s">
        <v>7</v>
      </c>
      <c r="D110">
        <v>0.30099999999999999</v>
      </c>
      <c r="E110">
        <v>18</v>
      </c>
      <c r="F110" t="s">
        <v>62</v>
      </c>
      <c r="G110">
        <v>48.505512000000003</v>
      </c>
      <c r="H110">
        <v>20.538038</v>
      </c>
      <c r="I110" t="s">
        <v>61</v>
      </c>
      <c r="J110" s="12">
        <v>45355</v>
      </c>
      <c r="K110" t="s">
        <v>6</v>
      </c>
    </row>
    <row r="111" spans="1:11" x14ac:dyDescent="0.3">
      <c r="A111">
        <v>127</v>
      </c>
      <c r="B111" t="s">
        <v>64</v>
      </c>
      <c r="C111" t="s">
        <v>7</v>
      </c>
      <c r="D111">
        <v>0.29499999999999998</v>
      </c>
      <c r="E111">
        <v>17</v>
      </c>
      <c r="F111" t="s">
        <v>59</v>
      </c>
      <c r="G111">
        <v>48.505780000000001</v>
      </c>
      <c r="H111">
        <v>20.546465999999999</v>
      </c>
      <c r="I111" t="s">
        <v>61</v>
      </c>
      <c r="J111" s="12">
        <v>45355</v>
      </c>
      <c r="K111" t="s">
        <v>6</v>
      </c>
    </row>
    <row r="112" spans="1:11" x14ac:dyDescent="0.3">
      <c r="A112">
        <v>128</v>
      </c>
      <c r="B112" t="s">
        <v>64</v>
      </c>
      <c r="C112" t="s">
        <v>7</v>
      </c>
      <c r="D112">
        <v>0.32</v>
      </c>
      <c r="E112">
        <v>18</v>
      </c>
      <c r="F112" t="s">
        <v>59</v>
      </c>
      <c r="G112">
        <v>48.502091</v>
      </c>
      <c r="H112">
        <v>20.547521</v>
      </c>
      <c r="I112" t="s">
        <v>61</v>
      </c>
      <c r="J112" s="12">
        <v>45355</v>
      </c>
      <c r="K112" t="s">
        <v>6</v>
      </c>
    </row>
    <row r="113" spans="1:11" x14ac:dyDescent="0.3">
      <c r="A113">
        <v>129</v>
      </c>
      <c r="B113" t="s">
        <v>64</v>
      </c>
      <c r="C113" t="s">
        <v>7</v>
      </c>
      <c r="D113">
        <v>0.28000000000000003</v>
      </c>
      <c r="E113">
        <v>19</v>
      </c>
      <c r="F113" t="s">
        <v>62</v>
      </c>
      <c r="G113">
        <v>48.505493999999999</v>
      </c>
      <c r="H113">
        <v>20.536362</v>
      </c>
      <c r="I113" t="s">
        <v>61</v>
      </c>
      <c r="J113" s="12">
        <v>45355</v>
      </c>
      <c r="K113" t="s">
        <v>6</v>
      </c>
    </row>
    <row r="114" spans="1:11" x14ac:dyDescent="0.3">
      <c r="A114">
        <v>130</v>
      </c>
      <c r="B114" t="s">
        <v>64</v>
      </c>
      <c r="C114" t="s">
        <v>4</v>
      </c>
      <c r="D114">
        <v>0.33</v>
      </c>
      <c r="E114">
        <v>24</v>
      </c>
      <c r="F114" t="s">
        <v>59</v>
      </c>
      <c r="G114">
        <v>52.241202999999999</v>
      </c>
      <c r="H114">
        <v>21.050999000000001</v>
      </c>
      <c r="I114" t="s">
        <v>61</v>
      </c>
      <c r="J114" s="12">
        <v>45355</v>
      </c>
      <c r="K114" t="s">
        <v>6</v>
      </c>
    </row>
    <row r="115" spans="1:11" x14ac:dyDescent="0.3">
      <c r="A115">
        <v>131</v>
      </c>
      <c r="B115" t="s">
        <v>64</v>
      </c>
      <c r="C115" t="s">
        <v>4</v>
      </c>
      <c r="D115">
        <v>0.3</v>
      </c>
      <c r="E115">
        <v>22</v>
      </c>
      <c r="F115" t="s">
        <v>62</v>
      </c>
      <c r="G115">
        <v>52.240017999999999</v>
      </c>
      <c r="H115">
        <v>21.052389999999999</v>
      </c>
      <c r="I115" t="s">
        <v>16</v>
      </c>
      <c r="J115" s="12">
        <v>45355</v>
      </c>
      <c r="K115" t="s">
        <v>6</v>
      </c>
    </row>
    <row r="116" spans="1:11" x14ac:dyDescent="0.3">
      <c r="A116">
        <v>132</v>
      </c>
      <c r="B116" t="s">
        <v>64</v>
      </c>
      <c r="C116" t="s">
        <v>4</v>
      </c>
      <c r="D116">
        <v>0.28299999999999997</v>
      </c>
      <c r="E116">
        <v>17</v>
      </c>
      <c r="F116" t="s">
        <v>62</v>
      </c>
      <c r="G116">
        <v>52.239930999999999</v>
      </c>
      <c r="H116">
        <v>21.056702999999999</v>
      </c>
      <c r="I116" t="s">
        <v>61</v>
      </c>
      <c r="J116" s="12">
        <v>45355</v>
      </c>
      <c r="K116" t="s">
        <v>6</v>
      </c>
    </row>
    <row r="117" spans="1:11" x14ac:dyDescent="0.3">
      <c r="A117">
        <v>133</v>
      </c>
      <c r="B117" t="s">
        <v>64</v>
      </c>
      <c r="C117" t="s">
        <v>4</v>
      </c>
      <c r="D117">
        <v>0.34100000000000003</v>
      </c>
      <c r="E117">
        <v>21</v>
      </c>
      <c r="F117" t="s">
        <v>59</v>
      </c>
      <c r="G117">
        <v>52.241855999999999</v>
      </c>
      <c r="H117">
        <v>21.053077999999999</v>
      </c>
      <c r="I117" t="s">
        <v>61</v>
      </c>
      <c r="J117" s="12">
        <v>45355</v>
      </c>
      <c r="K117" t="s">
        <v>6</v>
      </c>
    </row>
    <row r="118" spans="1:11" x14ac:dyDescent="0.3">
      <c r="A118">
        <v>134</v>
      </c>
      <c r="B118" t="s">
        <v>64</v>
      </c>
      <c r="C118" t="s">
        <v>4</v>
      </c>
      <c r="D118">
        <v>0.35</v>
      </c>
      <c r="E118">
        <v>24</v>
      </c>
      <c r="F118" t="s">
        <v>59</v>
      </c>
      <c r="G118">
        <v>52.240453000000002</v>
      </c>
      <c r="H118">
        <v>21.055847</v>
      </c>
      <c r="I118" t="s">
        <v>61</v>
      </c>
      <c r="J118" s="12">
        <v>45355</v>
      </c>
      <c r="K118" t="s">
        <v>6</v>
      </c>
    </row>
    <row r="119" spans="1:11" x14ac:dyDescent="0.3">
      <c r="A119">
        <v>135</v>
      </c>
      <c r="B119" t="s">
        <v>64</v>
      </c>
      <c r="C119" t="s">
        <v>4</v>
      </c>
      <c r="D119">
        <v>0.29099999999999998</v>
      </c>
      <c r="E119">
        <v>21</v>
      </c>
      <c r="F119" t="s">
        <v>10</v>
      </c>
      <c r="G119">
        <v>52.241661999999998</v>
      </c>
      <c r="H119">
        <v>21.056429999999999</v>
      </c>
      <c r="I119" t="s">
        <v>61</v>
      </c>
      <c r="J119" s="12">
        <v>45355</v>
      </c>
      <c r="K119" t="s">
        <v>6</v>
      </c>
    </row>
    <row r="120" spans="1:11" x14ac:dyDescent="0.3">
      <c r="A120">
        <v>136</v>
      </c>
      <c r="B120" t="s">
        <v>64</v>
      </c>
      <c r="C120" t="s">
        <v>4</v>
      </c>
      <c r="D120">
        <v>0.32900000000000001</v>
      </c>
      <c r="E120">
        <v>22</v>
      </c>
      <c r="F120" t="s">
        <v>62</v>
      </c>
      <c r="G120">
        <v>52.241638000000002</v>
      </c>
      <c r="H120">
        <v>21.055997999999999</v>
      </c>
      <c r="I120" t="s">
        <v>16</v>
      </c>
      <c r="J120" s="12">
        <v>45355</v>
      </c>
      <c r="K120" t="s">
        <v>6</v>
      </c>
    </row>
    <row r="121" spans="1:11" x14ac:dyDescent="0.3">
      <c r="A121">
        <v>137</v>
      </c>
      <c r="B121" t="s">
        <v>64</v>
      </c>
      <c r="C121" t="s">
        <v>7</v>
      </c>
      <c r="D121">
        <v>0.32700000000000001</v>
      </c>
      <c r="E121">
        <v>18</v>
      </c>
      <c r="F121" t="s">
        <v>62</v>
      </c>
      <c r="G121">
        <v>48.502803</v>
      </c>
      <c r="H121">
        <v>20.548667999999999</v>
      </c>
      <c r="I121" t="s">
        <v>61</v>
      </c>
      <c r="J121" s="12">
        <v>45355</v>
      </c>
      <c r="K121" t="s">
        <v>6</v>
      </c>
    </row>
    <row r="122" spans="1:11" x14ac:dyDescent="0.3">
      <c r="A122">
        <v>138</v>
      </c>
      <c r="B122" t="s">
        <v>64</v>
      </c>
      <c r="C122" t="s">
        <v>4</v>
      </c>
      <c r="D122">
        <v>0.35</v>
      </c>
      <c r="E122">
        <v>24</v>
      </c>
      <c r="F122" t="s">
        <v>59</v>
      </c>
      <c r="G122">
        <v>52.240496999999998</v>
      </c>
      <c r="H122">
        <v>21.055990999999999</v>
      </c>
      <c r="I122" t="s">
        <v>61</v>
      </c>
      <c r="J122" s="12">
        <v>45355</v>
      </c>
      <c r="K122" t="s">
        <v>6</v>
      </c>
    </row>
    <row r="123" spans="1:11" x14ac:dyDescent="0.3">
      <c r="A123">
        <v>139</v>
      </c>
      <c r="B123" t="s">
        <v>65</v>
      </c>
      <c r="C123" t="s">
        <v>15</v>
      </c>
      <c r="D123">
        <v>0.6</v>
      </c>
      <c r="E123">
        <v>17</v>
      </c>
      <c r="F123" t="s">
        <v>59</v>
      </c>
      <c r="G123">
        <v>50.635500999999998</v>
      </c>
      <c r="H123">
        <v>14.838158</v>
      </c>
      <c r="I123" t="s">
        <v>61</v>
      </c>
      <c r="J123" s="12">
        <v>45355</v>
      </c>
      <c r="K123" t="s">
        <v>14</v>
      </c>
    </row>
    <row r="124" spans="1:11" x14ac:dyDescent="0.3">
      <c r="A124">
        <v>140</v>
      </c>
      <c r="B124" t="s">
        <v>65</v>
      </c>
      <c r="C124" t="s">
        <v>15</v>
      </c>
      <c r="D124">
        <v>0.9</v>
      </c>
      <c r="E124">
        <v>22</v>
      </c>
      <c r="F124" t="s">
        <v>62</v>
      </c>
      <c r="G124">
        <v>50.638142000000002</v>
      </c>
      <c r="H124">
        <v>14.849689</v>
      </c>
      <c r="I124" t="s">
        <v>61</v>
      </c>
      <c r="J124" s="12">
        <v>45355</v>
      </c>
      <c r="K124" t="s">
        <v>14</v>
      </c>
    </row>
    <row r="125" spans="1:11" x14ac:dyDescent="0.3">
      <c r="A125">
        <v>141</v>
      </c>
      <c r="B125" t="s">
        <v>64</v>
      </c>
      <c r="C125" t="s">
        <v>15</v>
      </c>
      <c r="D125">
        <v>0.28899999999999998</v>
      </c>
      <c r="E125">
        <v>21</v>
      </c>
      <c r="F125" t="s">
        <v>62</v>
      </c>
      <c r="G125">
        <v>49.937871999999999</v>
      </c>
      <c r="H125">
        <v>14.179824999999999</v>
      </c>
      <c r="I125" t="s">
        <v>61</v>
      </c>
      <c r="J125" s="12">
        <v>45355</v>
      </c>
      <c r="K125" t="s">
        <v>14</v>
      </c>
    </row>
    <row r="126" spans="1:11" x14ac:dyDescent="0.3">
      <c r="A126">
        <v>142</v>
      </c>
      <c r="B126" t="s">
        <v>64</v>
      </c>
      <c r="C126" t="s">
        <v>13</v>
      </c>
      <c r="D126">
        <v>0.29699999999999999</v>
      </c>
      <c r="E126">
        <v>20</v>
      </c>
      <c r="F126" t="s">
        <v>62</v>
      </c>
      <c r="G126">
        <v>48.185194000000003</v>
      </c>
      <c r="H126">
        <v>17.083141999999999</v>
      </c>
      <c r="I126" t="s">
        <v>61</v>
      </c>
      <c r="J126" s="12">
        <v>45355</v>
      </c>
      <c r="K126" t="s">
        <v>14</v>
      </c>
    </row>
    <row r="127" spans="1:11" x14ac:dyDescent="0.3">
      <c r="A127">
        <v>159</v>
      </c>
      <c r="B127" t="s">
        <v>63</v>
      </c>
      <c r="C127" t="s">
        <v>7</v>
      </c>
      <c r="D127">
        <v>24</v>
      </c>
      <c r="E127">
        <v>79</v>
      </c>
      <c r="F127" t="s">
        <v>59</v>
      </c>
      <c r="G127">
        <v>48.503042999999998</v>
      </c>
      <c r="H127">
        <v>20.561567</v>
      </c>
      <c r="I127" t="s">
        <v>61</v>
      </c>
      <c r="J127" s="12">
        <v>45356</v>
      </c>
      <c r="K127" t="s">
        <v>6</v>
      </c>
    </row>
    <row r="128" spans="1:11" x14ac:dyDescent="0.3">
      <c r="A128">
        <v>160</v>
      </c>
      <c r="B128" t="s">
        <v>64</v>
      </c>
      <c r="C128" t="s">
        <v>4</v>
      </c>
      <c r="D128">
        <v>0.30099999999999999</v>
      </c>
      <c r="E128">
        <v>23</v>
      </c>
      <c r="F128" t="s">
        <v>62</v>
      </c>
      <c r="G128">
        <v>52.240867000000001</v>
      </c>
      <c r="H128">
        <v>21.054338999999999</v>
      </c>
      <c r="I128" t="s">
        <v>61</v>
      </c>
      <c r="J128" s="12">
        <v>45356</v>
      </c>
      <c r="K128" t="s">
        <v>6</v>
      </c>
    </row>
    <row r="129" spans="1:11" x14ac:dyDescent="0.3">
      <c r="A129">
        <v>161</v>
      </c>
      <c r="B129" t="s">
        <v>64</v>
      </c>
      <c r="C129" t="s">
        <v>4</v>
      </c>
      <c r="D129">
        <v>0.34399999999999997</v>
      </c>
      <c r="E129">
        <v>20</v>
      </c>
      <c r="F129" t="s">
        <v>59</v>
      </c>
      <c r="G129">
        <v>52.240521999999999</v>
      </c>
      <c r="H129">
        <v>21.057552000000001</v>
      </c>
      <c r="I129" t="s">
        <v>61</v>
      </c>
      <c r="J129" s="12">
        <v>45356</v>
      </c>
      <c r="K129" t="s">
        <v>6</v>
      </c>
    </row>
    <row r="130" spans="1:11" x14ac:dyDescent="0.3">
      <c r="A130">
        <v>162</v>
      </c>
      <c r="B130" t="s">
        <v>64</v>
      </c>
      <c r="C130" t="s">
        <v>7</v>
      </c>
      <c r="D130">
        <v>0.253</v>
      </c>
      <c r="E130">
        <v>20.418848167539199</v>
      </c>
      <c r="F130" t="s">
        <v>59</v>
      </c>
      <c r="G130">
        <v>47.507002</v>
      </c>
      <c r="H130">
        <v>18.950091</v>
      </c>
      <c r="I130" t="s">
        <v>61</v>
      </c>
      <c r="J130" s="12">
        <v>45356</v>
      </c>
      <c r="K130" t="s">
        <v>6</v>
      </c>
    </row>
    <row r="131" spans="1:11" x14ac:dyDescent="0.3">
      <c r="A131">
        <v>163</v>
      </c>
      <c r="B131" t="s">
        <v>64</v>
      </c>
      <c r="C131" t="s">
        <v>7</v>
      </c>
      <c r="D131">
        <v>0.29299999999999998</v>
      </c>
      <c r="E131">
        <v>18</v>
      </c>
      <c r="F131" t="s">
        <v>62</v>
      </c>
      <c r="G131">
        <v>47.507556999999998</v>
      </c>
      <c r="H131">
        <v>18.942066000000001</v>
      </c>
      <c r="I131" t="s">
        <v>61</v>
      </c>
      <c r="J131" s="12">
        <v>45356</v>
      </c>
      <c r="K131" t="s">
        <v>6</v>
      </c>
    </row>
    <row r="132" spans="1:11" x14ac:dyDescent="0.3">
      <c r="A132">
        <v>164</v>
      </c>
      <c r="B132" t="s">
        <v>64</v>
      </c>
      <c r="C132" t="s">
        <v>17</v>
      </c>
      <c r="D132">
        <v>0.26300000000000001</v>
      </c>
      <c r="E132">
        <v>22</v>
      </c>
      <c r="F132" t="s">
        <v>59</v>
      </c>
      <c r="I132" t="s">
        <v>61</v>
      </c>
      <c r="J132" s="12">
        <v>45356</v>
      </c>
      <c r="K132" t="s">
        <v>12</v>
      </c>
    </row>
    <row r="133" spans="1:11" x14ac:dyDescent="0.3">
      <c r="A133">
        <v>165</v>
      </c>
      <c r="B133" t="s">
        <v>65</v>
      </c>
      <c r="C133" t="s">
        <v>15</v>
      </c>
      <c r="D133">
        <v>0.9</v>
      </c>
      <c r="E133">
        <v>19</v>
      </c>
      <c r="F133" t="s">
        <v>62</v>
      </c>
      <c r="G133">
        <v>50.107284</v>
      </c>
      <c r="H133">
        <v>14.346126999999999</v>
      </c>
      <c r="I133" t="s">
        <v>61</v>
      </c>
      <c r="J133" s="12">
        <v>45356</v>
      </c>
      <c r="K133" t="s">
        <v>14</v>
      </c>
    </row>
    <row r="134" spans="1:11" x14ac:dyDescent="0.3">
      <c r="A134">
        <v>166</v>
      </c>
      <c r="B134" t="s">
        <v>63</v>
      </c>
      <c r="C134" t="s">
        <v>13</v>
      </c>
      <c r="D134">
        <v>23</v>
      </c>
      <c r="E134">
        <v>97</v>
      </c>
      <c r="F134" t="s">
        <v>62</v>
      </c>
      <c r="G134">
        <v>48.413226000000002</v>
      </c>
      <c r="H134">
        <v>18.848127999999999</v>
      </c>
      <c r="I134" t="s">
        <v>61</v>
      </c>
      <c r="J134" s="12">
        <v>45356</v>
      </c>
      <c r="K134" t="s">
        <v>14</v>
      </c>
    </row>
    <row r="135" spans="1:11" x14ac:dyDescent="0.3">
      <c r="A135">
        <v>167</v>
      </c>
      <c r="B135" t="s">
        <v>64</v>
      </c>
      <c r="C135" t="s">
        <v>13</v>
      </c>
      <c r="D135">
        <v>0.33300000000000002</v>
      </c>
      <c r="E135">
        <v>23</v>
      </c>
      <c r="F135" t="s">
        <v>59</v>
      </c>
      <c r="G135">
        <v>48.409022999999998</v>
      </c>
      <c r="H135">
        <v>18.843990000000002</v>
      </c>
      <c r="I135" t="s">
        <v>61</v>
      </c>
      <c r="J135" s="12">
        <v>45356</v>
      </c>
      <c r="K135" t="s">
        <v>14</v>
      </c>
    </row>
    <row r="136" spans="1:11" x14ac:dyDescent="0.3">
      <c r="A136">
        <v>168</v>
      </c>
      <c r="B136" t="s">
        <v>64</v>
      </c>
      <c r="C136" t="s">
        <v>13</v>
      </c>
      <c r="D136">
        <v>0.32</v>
      </c>
      <c r="E136">
        <v>17</v>
      </c>
      <c r="F136" t="s">
        <v>59</v>
      </c>
      <c r="G136">
        <v>48.406733000000003</v>
      </c>
      <c r="H136">
        <v>18.838754000000002</v>
      </c>
      <c r="I136" t="s">
        <v>61</v>
      </c>
      <c r="J136" s="12">
        <v>45356</v>
      </c>
      <c r="K136" t="s">
        <v>14</v>
      </c>
    </row>
    <row r="137" spans="1:11" x14ac:dyDescent="0.3">
      <c r="A137">
        <v>169</v>
      </c>
      <c r="B137" t="s">
        <v>64</v>
      </c>
      <c r="C137" t="s">
        <v>13</v>
      </c>
      <c r="D137">
        <v>0.26600000000000001</v>
      </c>
      <c r="E137">
        <v>18</v>
      </c>
      <c r="F137" t="s">
        <v>62</v>
      </c>
      <c r="G137">
        <v>48.404589999999999</v>
      </c>
      <c r="H137">
        <v>18.846848999999999</v>
      </c>
      <c r="I137" t="s">
        <v>61</v>
      </c>
      <c r="J137" s="12">
        <v>45356</v>
      </c>
      <c r="K137" t="s">
        <v>14</v>
      </c>
    </row>
    <row r="138" spans="1:11" x14ac:dyDescent="0.3">
      <c r="A138">
        <v>170</v>
      </c>
      <c r="B138" t="s">
        <v>64</v>
      </c>
      <c r="C138" t="s">
        <v>13</v>
      </c>
      <c r="D138">
        <v>0.30599999999999999</v>
      </c>
      <c r="E138">
        <v>22</v>
      </c>
      <c r="F138" t="s">
        <v>59</v>
      </c>
      <c r="G138">
        <v>48.408318000000001</v>
      </c>
      <c r="H138">
        <v>18.844383000000001</v>
      </c>
      <c r="I138" t="s">
        <v>61</v>
      </c>
      <c r="J138" s="12">
        <v>45356</v>
      </c>
      <c r="K138" t="s">
        <v>14</v>
      </c>
    </row>
    <row r="139" spans="1:11" x14ac:dyDescent="0.3">
      <c r="A139">
        <v>171</v>
      </c>
      <c r="B139" t="s">
        <v>64</v>
      </c>
      <c r="C139" t="s">
        <v>13</v>
      </c>
      <c r="D139">
        <v>0.311</v>
      </c>
      <c r="E139">
        <v>22</v>
      </c>
      <c r="F139" t="s">
        <v>59</v>
      </c>
      <c r="G139">
        <v>48.412458000000001</v>
      </c>
      <c r="H139">
        <v>18.832425000000001</v>
      </c>
      <c r="I139" t="s">
        <v>61</v>
      </c>
      <c r="J139" s="12">
        <v>45356</v>
      </c>
      <c r="K139" t="s">
        <v>14</v>
      </c>
    </row>
    <row r="140" spans="1:11" x14ac:dyDescent="0.3">
      <c r="A140">
        <v>172</v>
      </c>
      <c r="B140" t="s">
        <v>64</v>
      </c>
      <c r="C140" t="s">
        <v>13</v>
      </c>
      <c r="D140">
        <v>0.29099999999999998</v>
      </c>
      <c r="E140">
        <v>22</v>
      </c>
      <c r="F140" t="s">
        <v>62</v>
      </c>
      <c r="G140">
        <v>48.406551</v>
      </c>
      <c r="H140">
        <v>18.837136999999998</v>
      </c>
      <c r="I140" t="s">
        <v>61</v>
      </c>
      <c r="J140" s="12">
        <v>45356</v>
      </c>
      <c r="K140" t="s">
        <v>14</v>
      </c>
    </row>
    <row r="141" spans="1:11" x14ac:dyDescent="0.3">
      <c r="A141">
        <v>173</v>
      </c>
      <c r="B141" t="s">
        <v>64</v>
      </c>
      <c r="C141" t="s">
        <v>13</v>
      </c>
      <c r="D141">
        <v>0.25900000000000001</v>
      </c>
      <c r="E141">
        <v>19</v>
      </c>
      <c r="F141" t="s">
        <v>59</v>
      </c>
      <c r="G141">
        <v>48.405515999999999</v>
      </c>
      <c r="H141">
        <v>18.850994</v>
      </c>
      <c r="I141" t="s">
        <v>61</v>
      </c>
      <c r="J141" s="12">
        <v>45356</v>
      </c>
      <c r="K141" t="s">
        <v>14</v>
      </c>
    </row>
    <row r="142" spans="1:11" x14ac:dyDescent="0.3">
      <c r="A142">
        <v>178</v>
      </c>
      <c r="B142" t="s">
        <v>58</v>
      </c>
      <c r="C142" t="s">
        <v>4</v>
      </c>
      <c r="D142">
        <v>454</v>
      </c>
      <c r="E142">
        <v>225</v>
      </c>
      <c r="F142" t="s">
        <v>62</v>
      </c>
      <c r="G142">
        <v>52.834423000000001</v>
      </c>
      <c r="H142">
        <v>23.827103000000001</v>
      </c>
      <c r="I142" t="s">
        <v>61</v>
      </c>
      <c r="J142" s="12">
        <v>45357</v>
      </c>
      <c r="K142" t="s">
        <v>6</v>
      </c>
    </row>
    <row r="143" spans="1:11" x14ac:dyDescent="0.3">
      <c r="A143">
        <v>179</v>
      </c>
      <c r="B143" t="s">
        <v>65</v>
      </c>
      <c r="C143" t="s">
        <v>4</v>
      </c>
      <c r="D143">
        <v>1.1000000000000001</v>
      </c>
      <c r="E143">
        <v>22</v>
      </c>
      <c r="F143" t="s">
        <v>62</v>
      </c>
      <c r="G143">
        <v>52.214520999999998</v>
      </c>
      <c r="H143">
        <v>21.031889</v>
      </c>
      <c r="I143" t="s">
        <v>61</v>
      </c>
      <c r="J143" s="12">
        <v>45357</v>
      </c>
      <c r="K143" t="s">
        <v>6</v>
      </c>
    </row>
    <row r="144" spans="1:11" x14ac:dyDescent="0.3">
      <c r="A144">
        <v>180</v>
      </c>
      <c r="B144" t="s">
        <v>65</v>
      </c>
      <c r="C144" t="s">
        <v>4</v>
      </c>
      <c r="D144">
        <v>0.9</v>
      </c>
      <c r="E144">
        <v>21</v>
      </c>
      <c r="F144" t="s">
        <v>59</v>
      </c>
      <c r="G144">
        <v>52.214934</v>
      </c>
      <c r="H144">
        <v>21.032105999999999</v>
      </c>
      <c r="I144" t="s">
        <v>61</v>
      </c>
      <c r="J144" s="12">
        <v>45357</v>
      </c>
      <c r="K144" t="s">
        <v>6</v>
      </c>
    </row>
    <row r="145" spans="1:11" x14ac:dyDescent="0.3">
      <c r="A145">
        <v>181</v>
      </c>
      <c r="B145" t="s">
        <v>63</v>
      </c>
      <c r="C145" t="s">
        <v>7</v>
      </c>
      <c r="D145">
        <v>18</v>
      </c>
      <c r="E145">
        <v>81</v>
      </c>
      <c r="F145" t="s">
        <v>62</v>
      </c>
      <c r="G145">
        <v>48.511532000000003</v>
      </c>
      <c r="H145">
        <v>20.539111999999999</v>
      </c>
      <c r="I145" t="s">
        <v>61</v>
      </c>
      <c r="J145" s="12">
        <v>45357</v>
      </c>
      <c r="K145" t="s">
        <v>6</v>
      </c>
    </row>
    <row r="146" spans="1:11" x14ac:dyDescent="0.3">
      <c r="A146">
        <v>182</v>
      </c>
      <c r="B146" t="s">
        <v>64</v>
      </c>
      <c r="C146" t="s">
        <v>4</v>
      </c>
      <c r="D146">
        <v>0.34300000000000003</v>
      </c>
      <c r="E146">
        <v>23</v>
      </c>
      <c r="F146" t="s">
        <v>59</v>
      </c>
      <c r="G146">
        <v>52.241638000000002</v>
      </c>
      <c r="H146">
        <v>21.057328999999999</v>
      </c>
      <c r="I146" t="s">
        <v>61</v>
      </c>
      <c r="J146" s="12">
        <v>45357</v>
      </c>
      <c r="K146" t="s">
        <v>6</v>
      </c>
    </row>
    <row r="147" spans="1:11" x14ac:dyDescent="0.3">
      <c r="A147">
        <v>183</v>
      </c>
      <c r="B147" t="s">
        <v>64</v>
      </c>
      <c r="C147" t="s">
        <v>4</v>
      </c>
      <c r="D147">
        <v>0.27400000000000002</v>
      </c>
      <c r="E147">
        <v>22</v>
      </c>
      <c r="F147" t="s">
        <v>62</v>
      </c>
      <c r="G147">
        <v>52.241235000000003</v>
      </c>
      <c r="H147">
        <v>21.057355999999999</v>
      </c>
      <c r="I147" t="s">
        <v>61</v>
      </c>
      <c r="J147" s="12">
        <v>45357</v>
      </c>
      <c r="K147" t="s">
        <v>6</v>
      </c>
    </row>
    <row r="148" spans="1:11" x14ac:dyDescent="0.3">
      <c r="A148">
        <v>184</v>
      </c>
      <c r="B148" t="s">
        <v>65</v>
      </c>
      <c r="C148" t="s">
        <v>15</v>
      </c>
      <c r="D148">
        <v>0.6</v>
      </c>
      <c r="E148">
        <v>17</v>
      </c>
      <c r="F148" t="s">
        <v>62</v>
      </c>
      <c r="G148">
        <v>50.106941999999997</v>
      </c>
      <c r="H148">
        <v>14.348502</v>
      </c>
      <c r="I148" t="s">
        <v>61</v>
      </c>
      <c r="J148" s="12">
        <v>45357</v>
      </c>
      <c r="K148" t="s">
        <v>14</v>
      </c>
    </row>
    <row r="149" spans="1:11" x14ac:dyDescent="0.3">
      <c r="A149">
        <v>185</v>
      </c>
      <c r="B149" t="s">
        <v>65</v>
      </c>
      <c r="C149" t="s">
        <v>15</v>
      </c>
      <c r="D149">
        <v>0.4</v>
      </c>
      <c r="E149">
        <v>12</v>
      </c>
      <c r="F149" t="s">
        <v>62</v>
      </c>
      <c r="G149">
        <v>50.107222999999998</v>
      </c>
      <c r="H149">
        <v>14.34732</v>
      </c>
      <c r="I149" t="s">
        <v>61</v>
      </c>
      <c r="J149" s="12">
        <v>45357</v>
      </c>
      <c r="K149" t="s">
        <v>14</v>
      </c>
    </row>
    <row r="150" spans="1:11" x14ac:dyDescent="0.3">
      <c r="A150">
        <v>186</v>
      </c>
      <c r="B150" t="s">
        <v>65</v>
      </c>
      <c r="C150" t="s">
        <v>15</v>
      </c>
      <c r="D150">
        <v>1.1000000000000001</v>
      </c>
      <c r="E150">
        <v>26</v>
      </c>
      <c r="F150" t="s">
        <v>59</v>
      </c>
      <c r="G150">
        <v>50.106378999999997</v>
      </c>
      <c r="H150">
        <v>14.347645</v>
      </c>
      <c r="I150" t="s">
        <v>61</v>
      </c>
      <c r="J150" s="12">
        <v>45357</v>
      </c>
      <c r="K150" t="s">
        <v>14</v>
      </c>
    </row>
    <row r="151" spans="1:11" x14ac:dyDescent="0.3">
      <c r="A151">
        <v>187</v>
      </c>
      <c r="B151" t="s">
        <v>65</v>
      </c>
      <c r="C151" t="s">
        <v>15</v>
      </c>
      <c r="D151">
        <v>0.8</v>
      </c>
      <c r="E151">
        <v>22</v>
      </c>
      <c r="F151" t="s">
        <v>59</v>
      </c>
      <c r="G151">
        <v>50.106579000000004</v>
      </c>
      <c r="H151">
        <v>14.346283</v>
      </c>
      <c r="I151" t="s">
        <v>61</v>
      </c>
      <c r="J151" s="12">
        <v>45357</v>
      </c>
      <c r="K151" t="s">
        <v>14</v>
      </c>
    </row>
    <row r="152" spans="1:11" x14ac:dyDescent="0.3">
      <c r="A152">
        <v>188</v>
      </c>
      <c r="B152" t="s">
        <v>64</v>
      </c>
      <c r="C152" t="s">
        <v>13</v>
      </c>
      <c r="D152">
        <v>0.33400000000000002</v>
      </c>
      <c r="E152">
        <v>21</v>
      </c>
      <c r="F152" t="s">
        <v>59</v>
      </c>
      <c r="G152">
        <v>48.188008000000004</v>
      </c>
      <c r="H152">
        <v>17.085311999999998</v>
      </c>
      <c r="I152" t="s">
        <v>61</v>
      </c>
      <c r="J152" s="12">
        <v>45357</v>
      </c>
      <c r="K152" t="s">
        <v>14</v>
      </c>
    </row>
    <row r="153" spans="1:11" x14ac:dyDescent="0.3">
      <c r="A153">
        <v>189</v>
      </c>
      <c r="B153" t="s">
        <v>64</v>
      </c>
      <c r="C153" t="s">
        <v>13</v>
      </c>
      <c r="D153">
        <v>0.307</v>
      </c>
      <c r="E153">
        <v>23</v>
      </c>
      <c r="F153" t="s">
        <v>62</v>
      </c>
      <c r="G153">
        <v>48.185298000000003</v>
      </c>
      <c r="H153">
        <v>17.084071999999999</v>
      </c>
      <c r="I153" t="s">
        <v>61</v>
      </c>
      <c r="J153" s="12">
        <v>45357</v>
      </c>
      <c r="K153" t="s">
        <v>14</v>
      </c>
    </row>
    <row r="154" spans="1:11" x14ac:dyDescent="0.3">
      <c r="A154">
        <v>192</v>
      </c>
      <c r="B154" t="s">
        <v>58</v>
      </c>
      <c r="C154" t="s">
        <v>4</v>
      </c>
      <c r="D154">
        <v>862</v>
      </c>
      <c r="E154">
        <v>312</v>
      </c>
      <c r="F154" t="s">
        <v>59</v>
      </c>
      <c r="G154">
        <v>52.831879000000001</v>
      </c>
      <c r="H154">
        <v>23.826297</v>
      </c>
      <c r="I154" t="s">
        <v>61</v>
      </c>
      <c r="J154" s="12">
        <v>45358</v>
      </c>
      <c r="K154" t="s">
        <v>6</v>
      </c>
    </row>
    <row r="155" spans="1:11" x14ac:dyDescent="0.3">
      <c r="A155">
        <v>193</v>
      </c>
      <c r="B155" t="s">
        <v>65</v>
      </c>
      <c r="C155" t="s">
        <v>7</v>
      </c>
      <c r="D155">
        <v>0.74592592592592599</v>
      </c>
      <c r="E155">
        <v>18.410447761194</v>
      </c>
      <c r="F155" t="s">
        <v>62</v>
      </c>
      <c r="G155">
        <v>48.506205999999999</v>
      </c>
      <c r="H155">
        <v>20.565308000000002</v>
      </c>
      <c r="I155" t="s">
        <v>61</v>
      </c>
      <c r="J155" s="12">
        <v>45358</v>
      </c>
      <c r="K155" t="s">
        <v>6</v>
      </c>
    </row>
    <row r="156" spans="1:11" x14ac:dyDescent="0.3">
      <c r="A156">
        <v>194</v>
      </c>
      <c r="B156" t="s">
        <v>65</v>
      </c>
      <c r="C156" t="s">
        <v>7</v>
      </c>
      <c r="D156">
        <v>0.5</v>
      </c>
      <c r="E156">
        <v>16</v>
      </c>
      <c r="F156" t="s">
        <v>59</v>
      </c>
      <c r="G156">
        <v>48.505090000000003</v>
      </c>
      <c r="H156">
        <v>20.539448</v>
      </c>
      <c r="I156" t="s">
        <v>61</v>
      </c>
      <c r="J156" s="12">
        <v>45358</v>
      </c>
      <c r="K156" t="s">
        <v>6</v>
      </c>
    </row>
    <row r="157" spans="1:11" x14ac:dyDescent="0.3">
      <c r="A157">
        <v>195</v>
      </c>
      <c r="B157" t="s">
        <v>65</v>
      </c>
      <c r="C157" t="s">
        <v>7</v>
      </c>
      <c r="D157">
        <v>0.8</v>
      </c>
      <c r="E157">
        <v>23</v>
      </c>
      <c r="F157" t="s">
        <v>62</v>
      </c>
      <c r="G157">
        <v>48.504424999999998</v>
      </c>
      <c r="H157">
        <v>20.548743999999999</v>
      </c>
      <c r="I157" t="s">
        <v>61</v>
      </c>
      <c r="J157" s="12">
        <v>45358</v>
      </c>
      <c r="K157" t="s">
        <v>6</v>
      </c>
    </row>
    <row r="158" spans="1:11" x14ac:dyDescent="0.3">
      <c r="A158">
        <v>196</v>
      </c>
      <c r="B158" t="s">
        <v>65</v>
      </c>
      <c r="C158" t="s">
        <v>7</v>
      </c>
      <c r="D158">
        <v>0.7</v>
      </c>
      <c r="E158">
        <v>18</v>
      </c>
      <c r="F158" t="s">
        <v>62</v>
      </c>
      <c r="G158">
        <v>48.505617000000001</v>
      </c>
      <c r="H158">
        <v>20.541053999999999</v>
      </c>
      <c r="I158" t="s">
        <v>61</v>
      </c>
      <c r="J158" s="12">
        <v>45358</v>
      </c>
      <c r="K158" t="s">
        <v>6</v>
      </c>
    </row>
    <row r="159" spans="1:11" x14ac:dyDescent="0.3">
      <c r="A159">
        <v>197</v>
      </c>
      <c r="B159" t="s">
        <v>65</v>
      </c>
      <c r="C159" t="s">
        <v>7</v>
      </c>
      <c r="D159">
        <v>1.2</v>
      </c>
      <c r="E159">
        <v>23</v>
      </c>
      <c r="F159" t="s">
        <v>59</v>
      </c>
      <c r="G159">
        <v>48.503253999999998</v>
      </c>
      <c r="H159">
        <v>20.555951</v>
      </c>
      <c r="I159" t="s">
        <v>61</v>
      </c>
      <c r="J159" s="12">
        <v>45358</v>
      </c>
      <c r="K159" t="s">
        <v>6</v>
      </c>
    </row>
    <row r="160" spans="1:11" x14ac:dyDescent="0.3">
      <c r="A160">
        <v>198</v>
      </c>
      <c r="B160" t="s">
        <v>65</v>
      </c>
      <c r="C160" t="s">
        <v>7</v>
      </c>
      <c r="D160">
        <v>0.5</v>
      </c>
      <c r="E160">
        <v>15</v>
      </c>
      <c r="F160" t="s">
        <v>59</v>
      </c>
      <c r="G160">
        <v>48.502358999999998</v>
      </c>
      <c r="H160">
        <v>20.563385</v>
      </c>
      <c r="I160" t="s">
        <v>61</v>
      </c>
      <c r="J160" s="12">
        <v>45358</v>
      </c>
      <c r="K160" t="s">
        <v>6</v>
      </c>
    </row>
    <row r="161" spans="1:11" x14ac:dyDescent="0.3">
      <c r="A161">
        <v>199</v>
      </c>
      <c r="B161" t="s">
        <v>65</v>
      </c>
      <c r="C161" t="s">
        <v>7</v>
      </c>
      <c r="D161">
        <v>0.6</v>
      </c>
      <c r="E161">
        <v>18</v>
      </c>
      <c r="F161" t="s">
        <v>62</v>
      </c>
      <c r="G161">
        <v>48.511048000000002</v>
      </c>
      <c r="H161">
        <v>20.567208999999998</v>
      </c>
      <c r="I161" t="s">
        <v>61</v>
      </c>
      <c r="J161" s="12">
        <v>45358</v>
      </c>
      <c r="K161" t="s">
        <v>6</v>
      </c>
    </row>
    <row r="162" spans="1:11" x14ac:dyDescent="0.3">
      <c r="A162">
        <v>200</v>
      </c>
      <c r="B162" t="s">
        <v>63</v>
      </c>
      <c r="C162" t="s">
        <v>7</v>
      </c>
      <c r="D162">
        <v>29</v>
      </c>
      <c r="E162">
        <v>109</v>
      </c>
      <c r="F162" t="s">
        <v>59</v>
      </c>
      <c r="G162">
        <v>48.501573999999998</v>
      </c>
      <c r="H162">
        <v>20.532454999999999</v>
      </c>
      <c r="I162" t="s">
        <v>61</v>
      </c>
      <c r="J162" s="12">
        <v>45358</v>
      </c>
      <c r="K162" t="s">
        <v>6</v>
      </c>
    </row>
    <row r="163" spans="1:11" x14ac:dyDescent="0.3">
      <c r="A163">
        <v>201</v>
      </c>
      <c r="B163" t="s">
        <v>63</v>
      </c>
      <c r="C163" t="s">
        <v>4</v>
      </c>
      <c r="D163">
        <v>26</v>
      </c>
      <c r="E163">
        <v>85</v>
      </c>
      <c r="F163" t="s">
        <v>62</v>
      </c>
      <c r="G163">
        <v>52.808579000000002</v>
      </c>
      <c r="H163">
        <v>23.843768000000001</v>
      </c>
      <c r="I163" t="s">
        <v>61</v>
      </c>
      <c r="J163" s="12">
        <v>45358</v>
      </c>
      <c r="K163" t="s">
        <v>6</v>
      </c>
    </row>
    <row r="164" spans="1:11" x14ac:dyDescent="0.3">
      <c r="A164">
        <v>202</v>
      </c>
      <c r="B164" t="s">
        <v>64</v>
      </c>
      <c r="C164" t="s">
        <v>7</v>
      </c>
      <c r="D164">
        <v>0.29599999999999999</v>
      </c>
      <c r="E164">
        <v>19</v>
      </c>
      <c r="F164" t="s">
        <v>59</v>
      </c>
      <c r="I164" t="s">
        <v>61</v>
      </c>
      <c r="J164" s="12">
        <v>45358</v>
      </c>
      <c r="K164" t="s">
        <v>6</v>
      </c>
    </row>
    <row r="165" spans="1:11" x14ac:dyDescent="0.3">
      <c r="A165">
        <v>203</v>
      </c>
      <c r="B165" t="s">
        <v>64</v>
      </c>
      <c r="C165" t="s">
        <v>7</v>
      </c>
      <c r="D165">
        <v>0.3</v>
      </c>
      <c r="E165">
        <v>23</v>
      </c>
      <c r="F165" t="s">
        <v>59</v>
      </c>
      <c r="G165">
        <v>48.505406000000001</v>
      </c>
      <c r="H165">
        <v>20.535848000000001</v>
      </c>
      <c r="I165" t="s">
        <v>61</v>
      </c>
      <c r="J165" s="12">
        <v>45358</v>
      </c>
      <c r="K165" t="s">
        <v>6</v>
      </c>
    </row>
    <row r="166" spans="1:11" x14ac:dyDescent="0.3">
      <c r="A166">
        <v>204</v>
      </c>
      <c r="B166" t="s">
        <v>64</v>
      </c>
      <c r="C166" t="s">
        <v>7</v>
      </c>
      <c r="D166">
        <v>0.28599999999999998</v>
      </c>
      <c r="E166">
        <v>18</v>
      </c>
      <c r="F166" t="s">
        <v>62</v>
      </c>
      <c r="G166">
        <v>48.503917000000001</v>
      </c>
      <c r="H166">
        <v>20.536503</v>
      </c>
      <c r="I166" t="s">
        <v>61</v>
      </c>
      <c r="J166" s="12">
        <v>45358</v>
      </c>
      <c r="K166" t="s">
        <v>6</v>
      </c>
    </row>
    <row r="167" spans="1:11" x14ac:dyDescent="0.3">
      <c r="A167">
        <v>205</v>
      </c>
      <c r="B167" t="s">
        <v>64</v>
      </c>
      <c r="C167" t="s">
        <v>4</v>
      </c>
      <c r="D167">
        <v>0.318</v>
      </c>
      <c r="E167">
        <v>21</v>
      </c>
      <c r="F167" t="s">
        <v>59</v>
      </c>
      <c r="G167">
        <v>52.240616000000003</v>
      </c>
      <c r="H167">
        <v>21.054901999999998</v>
      </c>
      <c r="I167" t="s">
        <v>61</v>
      </c>
      <c r="J167" s="12">
        <v>45358</v>
      </c>
      <c r="K167" t="s">
        <v>6</v>
      </c>
    </row>
    <row r="168" spans="1:11" x14ac:dyDescent="0.3">
      <c r="A168">
        <v>206</v>
      </c>
      <c r="B168" t="s">
        <v>58</v>
      </c>
      <c r="C168" t="s">
        <v>15</v>
      </c>
      <c r="D168">
        <v>716</v>
      </c>
      <c r="E168">
        <v>303</v>
      </c>
      <c r="F168" t="s">
        <v>59</v>
      </c>
      <c r="G168">
        <v>50.636161000000001</v>
      </c>
      <c r="H168">
        <v>14.846951000000001</v>
      </c>
      <c r="I168" t="s">
        <v>61</v>
      </c>
      <c r="J168" s="12">
        <v>45358</v>
      </c>
      <c r="K168" t="s">
        <v>14</v>
      </c>
    </row>
    <row r="169" spans="1:11" x14ac:dyDescent="0.3">
      <c r="A169">
        <v>207</v>
      </c>
      <c r="B169" t="s">
        <v>58</v>
      </c>
      <c r="C169" t="s">
        <v>15</v>
      </c>
      <c r="D169">
        <v>541</v>
      </c>
      <c r="E169">
        <v>212</v>
      </c>
      <c r="F169" t="s">
        <v>62</v>
      </c>
      <c r="G169">
        <v>50.642592</v>
      </c>
      <c r="H169">
        <v>14.85014</v>
      </c>
      <c r="I169" t="s">
        <v>61</v>
      </c>
      <c r="J169" s="12">
        <v>45358</v>
      </c>
      <c r="K169" t="s">
        <v>14</v>
      </c>
    </row>
    <row r="170" spans="1:11" x14ac:dyDescent="0.3">
      <c r="A170">
        <v>208</v>
      </c>
      <c r="B170" t="s">
        <v>58</v>
      </c>
      <c r="C170" t="s">
        <v>15</v>
      </c>
      <c r="D170">
        <v>30</v>
      </c>
      <c r="E170">
        <v>100</v>
      </c>
      <c r="F170" t="s">
        <v>62</v>
      </c>
      <c r="G170">
        <v>50.636423000000001</v>
      </c>
      <c r="H170">
        <v>14.847287</v>
      </c>
      <c r="I170" t="s">
        <v>61</v>
      </c>
      <c r="J170" s="12">
        <v>45358</v>
      </c>
      <c r="K170" t="s">
        <v>14</v>
      </c>
    </row>
    <row r="171" spans="1:11" x14ac:dyDescent="0.3">
      <c r="A171">
        <v>209</v>
      </c>
      <c r="B171" t="s">
        <v>65</v>
      </c>
      <c r="C171" t="s">
        <v>15</v>
      </c>
      <c r="D171">
        <v>0.7</v>
      </c>
      <c r="E171">
        <v>20</v>
      </c>
      <c r="F171" t="s">
        <v>62</v>
      </c>
      <c r="G171">
        <v>50.106606999999997</v>
      </c>
      <c r="H171">
        <v>14.347909</v>
      </c>
      <c r="I171" t="s">
        <v>61</v>
      </c>
      <c r="J171" s="12">
        <v>45358</v>
      </c>
      <c r="K171" t="s">
        <v>14</v>
      </c>
    </row>
    <row r="172" spans="1:11" x14ac:dyDescent="0.3">
      <c r="A172">
        <v>210</v>
      </c>
      <c r="B172" t="s">
        <v>65</v>
      </c>
      <c r="C172" t="s">
        <v>15</v>
      </c>
      <c r="D172">
        <v>0.7</v>
      </c>
      <c r="E172">
        <v>20</v>
      </c>
      <c r="F172" t="s">
        <v>62</v>
      </c>
      <c r="G172">
        <v>50.106924999999997</v>
      </c>
      <c r="H172">
        <v>14.346629</v>
      </c>
      <c r="I172" t="s">
        <v>61</v>
      </c>
      <c r="J172" s="12">
        <v>45358</v>
      </c>
      <c r="K172" t="s">
        <v>14</v>
      </c>
    </row>
    <row r="173" spans="1:11" x14ac:dyDescent="0.3">
      <c r="A173">
        <v>211</v>
      </c>
      <c r="B173" t="s">
        <v>65</v>
      </c>
      <c r="C173" t="s">
        <v>15</v>
      </c>
      <c r="D173">
        <v>1.2</v>
      </c>
      <c r="E173">
        <v>26</v>
      </c>
      <c r="F173" t="s">
        <v>59</v>
      </c>
      <c r="G173">
        <v>50.107284</v>
      </c>
      <c r="H173">
        <v>14.347676</v>
      </c>
      <c r="I173" t="s">
        <v>61</v>
      </c>
      <c r="J173" s="12">
        <v>45358</v>
      </c>
      <c r="K173" t="s">
        <v>14</v>
      </c>
    </row>
    <row r="174" spans="1:11" x14ac:dyDescent="0.3">
      <c r="A174">
        <v>212</v>
      </c>
      <c r="B174" t="s">
        <v>64</v>
      </c>
      <c r="C174" t="s">
        <v>15</v>
      </c>
      <c r="D174">
        <v>0.27300000000000002</v>
      </c>
      <c r="E174">
        <v>17</v>
      </c>
      <c r="F174" t="s">
        <v>62</v>
      </c>
      <c r="G174">
        <v>49.938634</v>
      </c>
      <c r="H174">
        <v>14.181813</v>
      </c>
      <c r="I174" t="s">
        <v>61</v>
      </c>
      <c r="J174" s="12">
        <v>45358</v>
      </c>
      <c r="K174" t="s">
        <v>14</v>
      </c>
    </row>
    <row r="175" spans="1:11" x14ac:dyDescent="0.3">
      <c r="A175">
        <v>217</v>
      </c>
      <c r="B175" t="s">
        <v>65</v>
      </c>
      <c r="C175" t="s">
        <v>7</v>
      </c>
      <c r="D175">
        <v>1</v>
      </c>
      <c r="E175">
        <v>24</v>
      </c>
      <c r="F175" t="s">
        <v>62</v>
      </c>
      <c r="G175">
        <v>48.506912999999997</v>
      </c>
      <c r="H175">
        <v>20.540427000000001</v>
      </c>
      <c r="I175" t="s">
        <v>61</v>
      </c>
      <c r="J175" s="12">
        <v>45359</v>
      </c>
      <c r="K175" t="s">
        <v>6</v>
      </c>
    </row>
    <row r="176" spans="1:11" x14ac:dyDescent="0.3">
      <c r="A176">
        <v>218</v>
      </c>
      <c r="B176" t="s">
        <v>65</v>
      </c>
      <c r="C176" t="s">
        <v>4</v>
      </c>
      <c r="D176">
        <v>0.8</v>
      </c>
      <c r="E176">
        <v>19</v>
      </c>
      <c r="F176" t="s">
        <v>62</v>
      </c>
      <c r="G176">
        <v>52.214365000000001</v>
      </c>
      <c r="H176">
        <v>21.031462000000001</v>
      </c>
      <c r="I176" t="s">
        <v>61</v>
      </c>
      <c r="J176" s="12">
        <v>45359</v>
      </c>
      <c r="K176" t="s">
        <v>6</v>
      </c>
    </row>
    <row r="177" spans="1:11" x14ac:dyDescent="0.3">
      <c r="A177">
        <v>219</v>
      </c>
      <c r="B177" t="s">
        <v>64</v>
      </c>
      <c r="C177" t="s">
        <v>7</v>
      </c>
      <c r="D177">
        <v>0.26100000000000001</v>
      </c>
      <c r="E177">
        <v>19</v>
      </c>
      <c r="F177" t="s">
        <v>62</v>
      </c>
      <c r="G177">
        <v>47.507022999999997</v>
      </c>
      <c r="H177">
        <v>18.940532000000001</v>
      </c>
      <c r="I177" t="s">
        <v>61</v>
      </c>
      <c r="J177" s="12">
        <v>45359</v>
      </c>
      <c r="K177" t="s">
        <v>6</v>
      </c>
    </row>
    <row r="178" spans="1:11" x14ac:dyDescent="0.3">
      <c r="A178">
        <v>220</v>
      </c>
      <c r="B178" t="s">
        <v>65</v>
      </c>
      <c r="C178" t="s">
        <v>15</v>
      </c>
      <c r="D178">
        <v>0.8</v>
      </c>
      <c r="E178">
        <v>22</v>
      </c>
      <c r="F178" t="s">
        <v>59</v>
      </c>
      <c r="G178">
        <v>50.106811</v>
      </c>
      <c r="H178">
        <v>14.348513000000001</v>
      </c>
      <c r="I178" t="s">
        <v>61</v>
      </c>
      <c r="J178" s="12">
        <v>45359</v>
      </c>
      <c r="K178" t="s">
        <v>14</v>
      </c>
    </row>
    <row r="179" spans="1:11" x14ac:dyDescent="0.3">
      <c r="A179">
        <v>221</v>
      </c>
      <c r="B179" t="s">
        <v>65</v>
      </c>
      <c r="C179" t="s">
        <v>15</v>
      </c>
      <c r="D179">
        <v>1.1000000000000001</v>
      </c>
      <c r="E179">
        <v>23</v>
      </c>
      <c r="F179" t="s">
        <v>59</v>
      </c>
      <c r="G179">
        <v>50.107278000000001</v>
      </c>
      <c r="H179">
        <v>14.348461</v>
      </c>
      <c r="I179" t="s">
        <v>61</v>
      </c>
      <c r="J179" s="12">
        <v>45359</v>
      </c>
      <c r="K179" t="s">
        <v>14</v>
      </c>
    </row>
    <row r="180" spans="1:11" x14ac:dyDescent="0.3">
      <c r="A180">
        <v>223</v>
      </c>
      <c r="B180" t="s">
        <v>58</v>
      </c>
      <c r="C180" t="s">
        <v>4</v>
      </c>
      <c r="D180">
        <v>621</v>
      </c>
      <c r="E180">
        <v>277</v>
      </c>
      <c r="F180" t="s">
        <v>62</v>
      </c>
      <c r="G180">
        <v>52.828561000000001</v>
      </c>
      <c r="H180">
        <v>23.816860999999999</v>
      </c>
      <c r="I180" t="s">
        <v>61</v>
      </c>
      <c r="J180" s="12">
        <v>45360</v>
      </c>
      <c r="K180" t="s">
        <v>6</v>
      </c>
    </row>
    <row r="181" spans="1:11" x14ac:dyDescent="0.3">
      <c r="A181">
        <v>224</v>
      </c>
      <c r="B181" t="s">
        <v>58</v>
      </c>
      <c r="C181" t="s">
        <v>4</v>
      </c>
      <c r="D181">
        <v>385</v>
      </c>
      <c r="E181">
        <v>168</v>
      </c>
      <c r="F181" t="s">
        <v>62</v>
      </c>
      <c r="G181">
        <v>52.833261</v>
      </c>
      <c r="H181">
        <v>23.815203</v>
      </c>
      <c r="I181" t="s">
        <v>61</v>
      </c>
      <c r="J181" s="12">
        <v>45360</v>
      </c>
      <c r="K181" t="s">
        <v>6</v>
      </c>
    </row>
    <row r="182" spans="1:11" x14ac:dyDescent="0.3">
      <c r="A182">
        <v>225</v>
      </c>
      <c r="B182" t="s">
        <v>65</v>
      </c>
      <c r="C182" t="s">
        <v>4</v>
      </c>
      <c r="D182">
        <v>0.6</v>
      </c>
      <c r="E182">
        <v>20.985294117647001</v>
      </c>
      <c r="F182" t="s">
        <v>59</v>
      </c>
      <c r="G182">
        <v>52.214410000000001</v>
      </c>
      <c r="H182">
        <v>21.032484</v>
      </c>
      <c r="I182" t="s">
        <v>61</v>
      </c>
      <c r="J182" s="12">
        <v>45360</v>
      </c>
      <c r="K182" t="s">
        <v>6</v>
      </c>
    </row>
    <row r="183" spans="1:11" x14ac:dyDescent="0.3">
      <c r="A183">
        <v>226</v>
      </c>
      <c r="B183" t="s">
        <v>65</v>
      </c>
      <c r="C183" t="s">
        <v>4</v>
      </c>
      <c r="D183">
        <v>0.8</v>
      </c>
      <c r="E183">
        <v>22</v>
      </c>
      <c r="F183" t="s">
        <v>62</v>
      </c>
      <c r="G183">
        <v>52.214452000000001</v>
      </c>
      <c r="H183">
        <v>21.034504999999999</v>
      </c>
      <c r="I183" t="s">
        <v>61</v>
      </c>
      <c r="J183" s="12">
        <v>45360</v>
      </c>
      <c r="K183" t="s">
        <v>6</v>
      </c>
    </row>
    <row r="184" spans="1:11" x14ac:dyDescent="0.3">
      <c r="A184">
        <v>227</v>
      </c>
      <c r="B184" t="s">
        <v>63</v>
      </c>
      <c r="C184" t="s">
        <v>7</v>
      </c>
      <c r="D184">
        <v>12</v>
      </c>
      <c r="E184">
        <v>61</v>
      </c>
      <c r="F184" t="s">
        <v>62</v>
      </c>
      <c r="G184">
        <v>48.508239000000003</v>
      </c>
      <c r="H184">
        <v>20.567913999999998</v>
      </c>
      <c r="I184" t="s">
        <v>61</v>
      </c>
      <c r="J184" s="12">
        <v>45360</v>
      </c>
      <c r="K184" t="s">
        <v>6</v>
      </c>
    </row>
    <row r="185" spans="1:11" x14ac:dyDescent="0.3">
      <c r="A185">
        <v>228</v>
      </c>
      <c r="B185" t="s">
        <v>63</v>
      </c>
      <c r="C185" t="s">
        <v>7</v>
      </c>
      <c r="D185">
        <v>23</v>
      </c>
      <c r="E185">
        <v>73</v>
      </c>
      <c r="F185" t="s">
        <v>62</v>
      </c>
      <c r="G185">
        <v>48.507503</v>
      </c>
      <c r="H185">
        <v>20.551725999999999</v>
      </c>
      <c r="I185" t="s">
        <v>61</v>
      </c>
      <c r="J185" s="12">
        <v>45360</v>
      </c>
      <c r="K185" t="s">
        <v>6</v>
      </c>
    </row>
    <row r="186" spans="1:11" x14ac:dyDescent="0.3">
      <c r="A186">
        <v>229</v>
      </c>
      <c r="B186" t="s">
        <v>63</v>
      </c>
      <c r="C186" t="s">
        <v>4</v>
      </c>
      <c r="D186">
        <v>20</v>
      </c>
      <c r="E186">
        <v>95</v>
      </c>
      <c r="F186" t="s">
        <v>62</v>
      </c>
      <c r="G186">
        <v>52.814984000000003</v>
      </c>
      <c r="H186">
        <v>23.840681</v>
      </c>
      <c r="I186" t="s">
        <v>61</v>
      </c>
      <c r="J186" s="12">
        <v>45360</v>
      </c>
      <c r="K186" t="s">
        <v>6</v>
      </c>
    </row>
    <row r="187" spans="1:11" x14ac:dyDescent="0.3">
      <c r="A187">
        <v>230</v>
      </c>
      <c r="B187" t="s">
        <v>63</v>
      </c>
      <c r="C187" t="s">
        <v>4</v>
      </c>
      <c r="D187">
        <v>18</v>
      </c>
      <c r="E187">
        <v>63</v>
      </c>
      <c r="F187" t="s">
        <v>59</v>
      </c>
      <c r="G187">
        <v>52.812646999999998</v>
      </c>
      <c r="H187">
        <v>23.863299000000001</v>
      </c>
      <c r="I187" t="s">
        <v>61</v>
      </c>
      <c r="J187" s="12">
        <v>45360</v>
      </c>
      <c r="K187" t="s">
        <v>6</v>
      </c>
    </row>
    <row r="188" spans="1:11" x14ac:dyDescent="0.3">
      <c r="A188">
        <v>231</v>
      </c>
      <c r="B188" t="s">
        <v>64</v>
      </c>
      <c r="C188" t="s">
        <v>4</v>
      </c>
      <c r="D188">
        <v>0.30199999999999999</v>
      </c>
      <c r="E188">
        <v>22</v>
      </c>
      <c r="F188" t="s">
        <v>59</v>
      </c>
      <c r="G188">
        <v>52.241374999999998</v>
      </c>
      <c r="H188">
        <v>21.050844999999999</v>
      </c>
      <c r="I188" t="s">
        <v>61</v>
      </c>
      <c r="J188" s="12">
        <v>45360</v>
      </c>
      <c r="K188" t="s">
        <v>6</v>
      </c>
    </row>
    <row r="189" spans="1:11" x14ac:dyDescent="0.3">
      <c r="A189">
        <v>232</v>
      </c>
      <c r="B189" t="s">
        <v>64</v>
      </c>
      <c r="C189" t="s">
        <v>7</v>
      </c>
      <c r="D189">
        <v>0.28399999999999997</v>
      </c>
      <c r="E189">
        <v>20</v>
      </c>
      <c r="F189" t="s">
        <v>62</v>
      </c>
      <c r="G189">
        <v>47.50938</v>
      </c>
      <c r="H189">
        <v>18.949607</v>
      </c>
      <c r="I189" t="s">
        <v>61</v>
      </c>
      <c r="J189" s="12">
        <v>45360</v>
      </c>
      <c r="K189" t="s">
        <v>6</v>
      </c>
    </row>
    <row r="190" spans="1:11" x14ac:dyDescent="0.3">
      <c r="A190">
        <v>233</v>
      </c>
      <c r="B190" t="s">
        <v>65</v>
      </c>
      <c r="C190" t="s">
        <v>15</v>
      </c>
      <c r="D190">
        <v>0.9</v>
      </c>
      <c r="E190">
        <v>22</v>
      </c>
      <c r="F190" t="s">
        <v>62</v>
      </c>
      <c r="G190">
        <v>50.106583000000001</v>
      </c>
      <c r="H190">
        <v>14.346470999999999</v>
      </c>
      <c r="I190" t="s">
        <v>61</v>
      </c>
      <c r="J190" s="12">
        <v>45360</v>
      </c>
      <c r="K190" t="s">
        <v>14</v>
      </c>
    </row>
    <row r="191" spans="1:11" x14ac:dyDescent="0.3">
      <c r="A191">
        <v>234</v>
      </c>
      <c r="B191" t="s">
        <v>65</v>
      </c>
      <c r="C191" t="s">
        <v>15</v>
      </c>
      <c r="D191">
        <v>1.1000000000000001</v>
      </c>
      <c r="E191">
        <v>23</v>
      </c>
      <c r="F191" t="s">
        <v>59</v>
      </c>
      <c r="G191">
        <v>50.106960000000001</v>
      </c>
      <c r="H191">
        <v>14.346126</v>
      </c>
      <c r="I191" t="s">
        <v>61</v>
      </c>
      <c r="J191" s="12">
        <v>45360</v>
      </c>
      <c r="K191" t="s">
        <v>14</v>
      </c>
    </row>
    <row r="192" spans="1:11" x14ac:dyDescent="0.3">
      <c r="A192">
        <v>235</v>
      </c>
      <c r="B192" t="s">
        <v>65</v>
      </c>
      <c r="C192" t="s">
        <v>15</v>
      </c>
      <c r="D192">
        <v>0.6</v>
      </c>
      <c r="E192">
        <v>19</v>
      </c>
      <c r="F192" t="s">
        <v>59</v>
      </c>
      <c r="G192">
        <v>50.106310999999998</v>
      </c>
      <c r="H192">
        <v>14.346906000000001</v>
      </c>
      <c r="I192" t="s">
        <v>61</v>
      </c>
      <c r="J192" s="12">
        <v>45360</v>
      </c>
      <c r="K192" t="s">
        <v>14</v>
      </c>
    </row>
    <row r="193" spans="1:11" x14ac:dyDescent="0.3">
      <c r="A193">
        <v>236</v>
      </c>
      <c r="B193" t="s">
        <v>64</v>
      </c>
      <c r="C193" t="s">
        <v>15</v>
      </c>
      <c r="D193">
        <v>0.29299999999999998</v>
      </c>
      <c r="E193">
        <v>19</v>
      </c>
      <c r="F193" t="s">
        <v>59</v>
      </c>
      <c r="G193">
        <v>49.937415999999999</v>
      </c>
      <c r="H193">
        <v>14.181449000000001</v>
      </c>
      <c r="I193" t="s">
        <v>61</v>
      </c>
      <c r="J193" s="12">
        <v>45360</v>
      </c>
      <c r="K193" t="s">
        <v>14</v>
      </c>
    </row>
    <row r="194" spans="1:11" x14ac:dyDescent="0.3">
      <c r="A194">
        <v>239</v>
      </c>
      <c r="B194" t="s">
        <v>65</v>
      </c>
      <c r="C194" t="s">
        <v>7</v>
      </c>
      <c r="D194">
        <v>0.9</v>
      </c>
      <c r="E194">
        <v>20</v>
      </c>
      <c r="F194" t="s">
        <v>62</v>
      </c>
      <c r="G194">
        <v>48.51108</v>
      </c>
      <c r="H194">
        <v>20.567191999999999</v>
      </c>
      <c r="I194" t="s">
        <v>61</v>
      </c>
      <c r="J194" s="12">
        <v>45361</v>
      </c>
      <c r="K194" t="s">
        <v>6</v>
      </c>
    </row>
    <row r="195" spans="1:11" x14ac:dyDescent="0.3">
      <c r="A195">
        <v>240</v>
      </c>
      <c r="B195" t="s">
        <v>65</v>
      </c>
      <c r="C195" t="s">
        <v>7</v>
      </c>
      <c r="D195">
        <v>0.9</v>
      </c>
      <c r="E195">
        <v>21</v>
      </c>
      <c r="F195" t="s">
        <v>59</v>
      </c>
      <c r="G195">
        <v>48.505290000000002</v>
      </c>
      <c r="H195">
        <v>20.566168999999999</v>
      </c>
      <c r="I195" t="s">
        <v>61</v>
      </c>
      <c r="J195" s="12">
        <v>45361</v>
      </c>
      <c r="K195" t="s">
        <v>6</v>
      </c>
    </row>
    <row r="196" spans="1:11" x14ac:dyDescent="0.3">
      <c r="A196">
        <v>241</v>
      </c>
      <c r="B196" t="s">
        <v>65</v>
      </c>
      <c r="C196" t="s">
        <v>7</v>
      </c>
      <c r="D196">
        <v>1.1000000000000001</v>
      </c>
      <c r="E196">
        <v>26</v>
      </c>
      <c r="F196" t="s">
        <v>59</v>
      </c>
      <c r="G196">
        <v>48.502485999999998</v>
      </c>
      <c r="H196">
        <v>20.562564999999999</v>
      </c>
      <c r="I196" t="s">
        <v>61</v>
      </c>
      <c r="J196" s="12">
        <v>45361</v>
      </c>
      <c r="K196" t="s">
        <v>6</v>
      </c>
    </row>
    <row r="197" spans="1:11" x14ac:dyDescent="0.3">
      <c r="A197">
        <v>242</v>
      </c>
      <c r="B197" t="s">
        <v>63</v>
      </c>
      <c r="C197" t="s">
        <v>7</v>
      </c>
      <c r="D197">
        <v>23</v>
      </c>
      <c r="E197">
        <v>77</v>
      </c>
      <c r="F197" t="s">
        <v>62</v>
      </c>
      <c r="G197">
        <v>48.509272000000003</v>
      </c>
      <c r="H197">
        <v>20.551952</v>
      </c>
      <c r="I197" t="s">
        <v>61</v>
      </c>
      <c r="J197" s="12">
        <v>45361</v>
      </c>
      <c r="K197" t="s">
        <v>6</v>
      </c>
    </row>
    <row r="198" spans="1:11" x14ac:dyDescent="0.3">
      <c r="A198">
        <v>243</v>
      </c>
      <c r="B198" t="s">
        <v>63</v>
      </c>
      <c r="C198" t="s">
        <v>7</v>
      </c>
      <c r="D198">
        <v>15</v>
      </c>
      <c r="E198">
        <v>71</v>
      </c>
      <c r="F198" t="s">
        <v>59</v>
      </c>
      <c r="G198">
        <v>48.501179999999998</v>
      </c>
      <c r="H198">
        <v>20.557431999999999</v>
      </c>
      <c r="I198" t="s">
        <v>61</v>
      </c>
      <c r="J198" s="12">
        <v>45361</v>
      </c>
      <c r="K198" t="s">
        <v>6</v>
      </c>
    </row>
    <row r="199" spans="1:11" x14ac:dyDescent="0.3">
      <c r="A199">
        <v>244</v>
      </c>
      <c r="B199" t="s">
        <v>65</v>
      </c>
      <c r="C199" t="s">
        <v>15</v>
      </c>
      <c r="D199">
        <v>0.8</v>
      </c>
      <c r="E199">
        <v>17</v>
      </c>
      <c r="F199" t="s">
        <v>59</v>
      </c>
      <c r="G199">
        <v>49.938707000000001</v>
      </c>
      <c r="H199">
        <v>14.182506999999999</v>
      </c>
      <c r="I199" t="s">
        <v>61</v>
      </c>
      <c r="J199" s="12">
        <v>45361</v>
      </c>
      <c r="K199" t="s">
        <v>14</v>
      </c>
    </row>
    <row r="200" spans="1:11" x14ac:dyDescent="0.3">
      <c r="A200">
        <v>245</v>
      </c>
      <c r="B200" t="s">
        <v>65</v>
      </c>
      <c r="C200" t="s">
        <v>15</v>
      </c>
      <c r="D200">
        <v>0.5</v>
      </c>
      <c r="E200">
        <v>18</v>
      </c>
      <c r="F200" t="s">
        <v>62</v>
      </c>
      <c r="G200">
        <v>49.937531</v>
      </c>
      <c r="H200">
        <v>14.180358999999999</v>
      </c>
      <c r="I200" t="s">
        <v>61</v>
      </c>
      <c r="J200" s="12">
        <v>45361</v>
      </c>
      <c r="K200" t="s">
        <v>14</v>
      </c>
    </row>
    <row r="201" spans="1:11" x14ac:dyDescent="0.3">
      <c r="A201">
        <v>246</v>
      </c>
      <c r="B201" t="s">
        <v>65</v>
      </c>
      <c r="C201" t="s">
        <v>15</v>
      </c>
      <c r="D201">
        <v>0.7</v>
      </c>
      <c r="E201">
        <v>17</v>
      </c>
      <c r="F201" t="s">
        <v>62</v>
      </c>
      <c r="G201">
        <v>49.937890000000003</v>
      </c>
      <c r="H201">
        <v>14.180882</v>
      </c>
      <c r="I201" t="s">
        <v>61</v>
      </c>
      <c r="J201" s="12">
        <v>45361</v>
      </c>
      <c r="K201" t="s">
        <v>14</v>
      </c>
    </row>
    <row r="202" spans="1:11" x14ac:dyDescent="0.3">
      <c r="A202">
        <v>247</v>
      </c>
      <c r="B202" t="s">
        <v>65</v>
      </c>
      <c r="C202" t="s">
        <v>15</v>
      </c>
      <c r="D202">
        <v>0.5</v>
      </c>
      <c r="E202">
        <v>15</v>
      </c>
      <c r="F202" t="s">
        <v>62</v>
      </c>
      <c r="G202">
        <v>49.937339999999999</v>
      </c>
      <c r="H202">
        <v>14.180709999999999</v>
      </c>
      <c r="I202" t="s">
        <v>61</v>
      </c>
      <c r="J202" s="12">
        <v>45361</v>
      </c>
      <c r="K202" t="s">
        <v>14</v>
      </c>
    </row>
    <row r="203" spans="1:11" x14ac:dyDescent="0.3">
      <c r="A203">
        <v>248</v>
      </c>
      <c r="B203" t="s">
        <v>58</v>
      </c>
      <c r="C203" t="s">
        <v>4</v>
      </c>
      <c r="D203">
        <v>24</v>
      </c>
      <c r="E203">
        <v>100</v>
      </c>
      <c r="F203" t="s">
        <v>62</v>
      </c>
      <c r="G203">
        <v>52.834111999999998</v>
      </c>
      <c r="H203">
        <v>23.825721999999999</v>
      </c>
      <c r="I203" t="s">
        <v>61</v>
      </c>
      <c r="J203" s="12">
        <v>45362</v>
      </c>
      <c r="K203" t="s">
        <v>6</v>
      </c>
    </row>
    <row r="204" spans="1:11" x14ac:dyDescent="0.3">
      <c r="A204">
        <v>249</v>
      </c>
      <c r="B204" t="s">
        <v>65</v>
      </c>
      <c r="C204" t="s">
        <v>7</v>
      </c>
      <c r="D204">
        <v>0.9</v>
      </c>
      <c r="E204">
        <v>19</v>
      </c>
      <c r="F204" t="s">
        <v>62</v>
      </c>
      <c r="G204">
        <v>48.505634000000001</v>
      </c>
      <c r="H204">
        <v>20.543417000000002</v>
      </c>
      <c r="I204" t="s">
        <v>61</v>
      </c>
      <c r="J204" s="12">
        <v>45362</v>
      </c>
      <c r="K204" t="s">
        <v>6</v>
      </c>
    </row>
    <row r="205" spans="1:11" x14ac:dyDescent="0.3">
      <c r="A205">
        <v>250</v>
      </c>
      <c r="B205" t="s">
        <v>65</v>
      </c>
      <c r="C205" t="s">
        <v>4</v>
      </c>
      <c r="D205">
        <v>0.8</v>
      </c>
      <c r="E205">
        <v>16</v>
      </c>
      <c r="F205" t="s">
        <v>62</v>
      </c>
      <c r="G205">
        <v>52.214967999999999</v>
      </c>
      <c r="H205">
        <v>21.030987</v>
      </c>
      <c r="I205" t="s">
        <v>61</v>
      </c>
      <c r="J205" s="12">
        <v>45362</v>
      </c>
      <c r="K205" t="s">
        <v>6</v>
      </c>
    </row>
    <row r="206" spans="1:11" x14ac:dyDescent="0.3">
      <c r="A206">
        <v>251</v>
      </c>
      <c r="B206" t="s">
        <v>63</v>
      </c>
      <c r="C206" t="s">
        <v>7</v>
      </c>
      <c r="D206">
        <v>20</v>
      </c>
      <c r="E206">
        <v>90</v>
      </c>
      <c r="F206" t="s">
        <v>62</v>
      </c>
      <c r="G206">
        <v>48.501938000000003</v>
      </c>
      <c r="H206">
        <v>20.567813999999998</v>
      </c>
      <c r="I206" t="s">
        <v>61</v>
      </c>
      <c r="J206" s="12">
        <v>45362</v>
      </c>
      <c r="K206" t="s">
        <v>6</v>
      </c>
    </row>
    <row r="207" spans="1:11" x14ac:dyDescent="0.3">
      <c r="A207">
        <v>252</v>
      </c>
      <c r="B207" t="s">
        <v>64</v>
      </c>
      <c r="C207" t="s">
        <v>7</v>
      </c>
      <c r="D207">
        <v>0.32200000000000001</v>
      </c>
      <c r="E207">
        <v>21</v>
      </c>
      <c r="F207" t="s">
        <v>59</v>
      </c>
      <c r="G207">
        <v>48.506216999999999</v>
      </c>
      <c r="H207">
        <v>20.545055000000001</v>
      </c>
      <c r="I207" t="s">
        <v>61</v>
      </c>
      <c r="J207" s="12">
        <v>45362</v>
      </c>
      <c r="K207" t="s">
        <v>6</v>
      </c>
    </row>
    <row r="208" spans="1:11" x14ac:dyDescent="0.3">
      <c r="A208">
        <v>253</v>
      </c>
      <c r="B208" t="s">
        <v>64</v>
      </c>
      <c r="C208" t="s">
        <v>7</v>
      </c>
      <c r="D208">
        <v>0.28199999999999997</v>
      </c>
      <c r="E208">
        <v>21</v>
      </c>
      <c r="F208" t="s">
        <v>59</v>
      </c>
      <c r="I208" t="s">
        <v>61</v>
      </c>
      <c r="J208" s="12">
        <v>45362</v>
      </c>
      <c r="K208" t="s">
        <v>6</v>
      </c>
    </row>
    <row r="209" spans="1:11" x14ac:dyDescent="0.3">
      <c r="A209">
        <v>254</v>
      </c>
      <c r="B209" t="s">
        <v>64</v>
      </c>
      <c r="C209" t="s">
        <v>7</v>
      </c>
      <c r="D209">
        <v>0.311</v>
      </c>
      <c r="E209">
        <v>22</v>
      </c>
      <c r="F209" t="s">
        <v>62</v>
      </c>
      <c r="G209">
        <v>48.505737000000003</v>
      </c>
      <c r="H209">
        <v>20.546731000000001</v>
      </c>
      <c r="I209" t="s">
        <v>61</v>
      </c>
      <c r="J209" s="12">
        <v>45362</v>
      </c>
      <c r="K209" t="s">
        <v>6</v>
      </c>
    </row>
    <row r="210" spans="1:11" x14ac:dyDescent="0.3">
      <c r="A210">
        <v>255</v>
      </c>
      <c r="B210" t="s">
        <v>64</v>
      </c>
      <c r="C210" t="s">
        <v>7</v>
      </c>
      <c r="D210">
        <v>0.33600000000000002</v>
      </c>
      <c r="E210">
        <v>22</v>
      </c>
      <c r="F210" t="s">
        <v>62</v>
      </c>
      <c r="G210">
        <v>48.506095000000002</v>
      </c>
      <c r="H210">
        <v>20.543032</v>
      </c>
      <c r="I210" t="s">
        <v>61</v>
      </c>
      <c r="J210" s="12">
        <v>45362</v>
      </c>
      <c r="K210" t="s">
        <v>6</v>
      </c>
    </row>
    <row r="211" spans="1:11" x14ac:dyDescent="0.3">
      <c r="A211">
        <v>256</v>
      </c>
      <c r="B211" t="s">
        <v>64</v>
      </c>
      <c r="C211" t="s">
        <v>7</v>
      </c>
      <c r="D211">
        <v>0.28999999999999998</v>
      </c>
      <c r="E211">
        <v>21</v>
      </c>
      <c r="F211" t="s">
        <v>59</v>
      </c>
      <c r="G211">
        <v>48.506428999999997</v>
      </c>
      <c r="H211">
        <v>20.543875</v>
      </c>
      <c r="I211" t="s">
        <v>61</v>
      </c>
      <c r="J211" s="12">
        <v>45362</v>
      </c>
      <c r="K211" t="s">
        <v>6</v>
      </c>
    </row>
    <row r="212" spans="1:11" x14ac:dyDescent="0.3">
      <c r="A212">
        <v>257</v>
      </c>
      <c r="B212" t="s">
        <v>64</v>
      </c>
      <c r="C212" t="s">
        <v>7</v>
      </c>
      <c r="D212">
        <v>0.29299999999999998</v>
      </c>
      <c r="E212">
        <v>20</v>
      </c>
      <c r="F212" t="s">
        <v>59</v>
      </c>
      <c r="G212">
        <v>48.505859999999998</v>
      </c>
      <c r="H212">
        <v>20.547649</v>
      </c>
      <c r="I212" t="s">
        <v>61</v>
      </c>
      <c r="J212" s="12">
        <v>45362</v>
      </c>
      <c r="K212" t="s">
        <v>6</v>
      </c>
    </row>
    <row r="213" spans="1:11" x14ac:dyDescent="0.3">
      <c r="A213">
        <v>258</v>
      </c>
      <c r="B213" t="s">
        <v>64</v>
      </c>
      <c r="C213" t="s">
        <v>7</v>
      </c>
      <c r="D213">
        <v>0.33500000000000002</v>
      </c>
      <c r="E213">
        <v>19</v>
      </c>
      <c r="F213" t="s">
        <v>62</v>
      </c>
      <c r="G213">
        <v>48.502521000000002</v>
      </c>
      <c r="H213">
        <v>20.558578000000001</v>
      </c>
      <c r="I213" t="s">
        <v>61</v>
      </c>
      <c r="J213" s="12">
        <v>45362</v>
      </c>
      <c r="K213" t="s">
        <v>6</v>
      </c>
    </row>
    <row r="214" spans="1:11" x14ac:dyDescent="0.3">
      <c r="A214">
        <v>259</v>
      </c>
      <c r="B214" t="s">
        <v>64</v>
      </c>
      <c r="C214" t="s">
        <v>7</v>
      </c>
      <c r="D214">
        <v>0.33900000000000002</v>
      </c>
      <c r="E214">
        <v>19</v>
      </c>
      <c r="F214" t="s">
        <v>62</v>
      </c>
      <c r="G214">
        <v>48.503751999999999</v>
      </c>
      <c r="H214">
        <v>20.558664</v>
      </c>
      <c r="I214" t="s">
        <v>61</v>
      </c>
      <c r="J214" s="12">
        <v>45362</v>
      </c>
      <c r="K214" t="s">
        <v>6</v>
      </c>
    </row>
    <row r="215" spans="1:11" x14ac:dyDescent="0.3">
      <c r="A215">
        <v>260</v>
      </c>
      <c r="B215" t="s">
        <v>64</v>
      </c>
      <c r="C215" t="s">
        <v>4</v>
      </c>
      <c r="D215">
        <v>0.30399999999999999</v>
      </c>
      <c r="E215">
        <v>22</v>
      </c>
      <c r="F215" t="s">
        <v>10</v>
      </c>
      <c r="G215">
        <v>52.241092999999999</v>
      </c>
      <c r="H215">
        <v>21.055413000000001</v>
      </c>
      <c r="I215" t="s">
        <v>61</v>
      </c>
      <c r="J215" s="12">
        <v>45362</v>
      </c>
      <c r="K215" t="s">
        <v>6</v>
      </c>
    </row>
    <row r="216" spans="1:11" x14ac:dyDescent="0.3">
      <c r="A216">
        <v>261</v>
      </c>
      <c r="B216" t="s">
        <v>64</v>
      </c>
      <c r="C216" t="s">
        <v>15</v>
      </c>
      <c r="D216">
        <v>0.27100000000000002</v>
      </c>
      <c r="E216">
        <v>18</v>
      </c>
      <c r="F216" t="s">
        <v>59</v>
      </c>
      <c r="G216">
        <v>49.937390999999998</v>
      </c>
      <c r="H216">
        <v>14.179565999999999</v>
      </c>
      <c r="I216" t="s">
        <v>61</v>
      </c>
      <c r="J216" s="12">
        <v>45362</v>
      </c>
      <c r="K216" t="s">
        <v>14</v>
      </c>
    </row>
    <row r="217" spans="1:11" x14ac:dyDescent="0.3">
      <c r="A217">
        <v>271</v>
      </c>
      <c r="B217" t="s">
        <v>58</v>
      </c>
      <c r="C217" t="s">
        <v>4</v>
      </c>
      <c r="D217">
        <v>315</v>
      </c>
      <c r="E217">
        <v>175</v>
      </c>
      <c r="F217" t="s">
        <v>59</v>
      </c>
      <c r="G217">
        <v>52.829512000000001</v>
      </c>
      <c r="H217">
        <v>23.811681</v>
      </c>
      <c r="I217" t="s">
        <v>61</v>
      </c>
      <c r="J217" s="12">
        <v>45363</v>
      </c>
      <c r="K217" t="s">
        <v>6</v>
      </c>
    </row>
    <row r="218" spans="1:11" x14ac:dyDescent="0.3">
      <c r="A218">
        <v>272</v>
      </c>
      <c r="B218" t="s">
        <v>64</v>
      </c>
      <c r="C218" t="s">
        <v>4</v>
      </c>
      <c r="D218">
        <v>0.316</v>
      </c>
      <c r="E218">
        <v>24</v>
      </c>
      <c r="F218" t="s">
        <v>59</v>
      </c>
      <c r="G218">
        <v>52.240707</v>
      </c>
      <c r="H218">
        <v>21.057051000000001</v>
      </c>
      <c r="I218" t="s">
        <v>61</v>
      </c>
      <c r="J218" s="12">
        <v>45363</v>
      </c>
      <c r="K218" t="s">
        <v>6</v>
      </c>
    </row>
    <row r="219" spans="1:11" x14ac:dyDescent="0.3">
      <c r="A219">
        <v>273</v>
      </c>
      <c r="B219" t="s">
        <v>64</v>
      </c>
      <c r="C219" t="s">
        <v>7</v>
      </c>
      <c r="D219">
        <v>0.297366504854368</v>
      </c>
      <c r="E219">
        <v>20.674418604651098</v>
      </c>
      <c r="F219" t="s">
        <v>62</v>
      </c>
      <c r="G219">
        <v>47.508454</v>
      </c>
      <c r="H219">
        <v>18.949342999999999</v>
      </c>
      <c r="I219" t="s">
        <v>61</v>
      </c>
      <c r="J219" s="12">
        <v>45363</v>
      </c>
      <c r="K219" t="s">
        <v>6</v>
      </c>
    </row>
    <row r="220" spans="1:11" x14ac:dyDescent="0.3">
      <c r="A220">
        <v>274</v>
      </c>
      <c r="B220" t="s">
        <v>65</v>
      </c>
      <c r="C220" t="s">
        <v>15</v>
      </c>
      <c r="D220">
        <v>0.6</v>
      </c>
      <c r="E220">
        <v>20</v>
      </c>
      <c r="F220" t="s">
        <v>59</v>
      </c>
      <c r="G220">
        <v>49.938169000000002</v>
      </c>
      <c r="H220">
        <v>14.178703000000001</v>
      </c>
      <c r="I220" t="s">
        <v>61</v>
      </c>
      <c r="J220" s="12">
        <v>45363</v>
      </c>
      <c r="K220" t="s">
        <v>14</v>
      </c>
    </row>
    <row r="221" spans="1:11" x14ac:dyDescent="0.3">
      <c r="A221">
        <v>275</v>
      </c>
      <c r="B221" t="s">
        <v>65</v>
      </c>
      <c r="C221" t="s">
        <v>15</v>
      </c>
      <c r="D221">
        <v>0.4</v>
      </c>
      <c r="E221">
        <v>17</v>
      </c>
      <c r="F221" t="s">
        <v>59</v>
      </c>
      <c r="G221">
        <v>49.938527000000001</v>
      </c>
      <c r="H221">
        <v>14.179315000000001</v>
      </c>
      <c r="I221" t="s">
        <v>61</v>
      </c>
      <c r="J221" s="12">
        <v>45363</v>
      </c>
      <c r="K221" t="s">
        <v>14</v>
      </c>
    </row>
    <row r="222" spans="1:11" x14ac:dyDescent="0.3">
      <c r="A222">
        <v>276</v>
      </c>
      <c r="B222" t="s">
        <v>64</v>
      </c>
      <c r="C222" t="s">
        <v>15</v>
      </c>
      <c r="D222">
        <v>0.32400000000000001</v>
      </c>
      <c r="E222">
        <v>23</v>
      </c>
      <c r="F222" t="s">
        <v>62</v>
      </c>
      <c r="G222">
        <v>49.937724000000003</v>
      </c>
      <c r="H222">
        <v>14.182072</v>
      </c>
      <c r="I222" t="s">
        <v>61</v>
      </c>
      <c r="J222" s="12">
        <v>45363</v>
      </c>
      <c r="K222" t="s">
        <v>14</v>
      </c>
    </row>
    <row r="223" spans="1:11" x14ac:dyDescent="0.3">
      <c r="A223">
        <v>279</v>
      </c>
      <c r="B223" t="s">
        <v>65</v>
      </c>
      <c r="C223" t="s">
        <v>7</v>
      </c>
      <c r="D223">
        <v>0.6</v>
      </c>
      <c r="E223">
        <v>14</v>
      </c>
      <c r="F223" t="s">
        <v>62</v>
      </c>
      <c r="G223">
        <v>48.506262</v>
      </c>
      <c r="H223">
        <v>20.547343000000001</v>
      </c>
      <c r="I223" t="s">
        <v>61</v>
      </c>
      <c r="J223" s="12">
        <v>45364</v>
      </c>
      <c r="K223" t="s">
        <v>6</v>
      </c>
    </row>
    <row r="224" spans="1:11" x14ac:dyDescent="0.3">
      <c r="A224">
        <v>280</v>
      </c>
      <c r="B224" t="s">
        <v>65</v>
      </c>
      <c r="C224" t="s">
        <v>4</v>
      </c>
      <c r="D224">
        <v>0.8</v>
      </c>
      <c r="E224">
        <v>24</v>
      </c>
      <c r="F224" t="s">
        <v>59</v>
      </c>
      <c r="G224">
        <v>52.214734</v>
      </c>
      <c r="H224">
        <v>21.031915000000001</v>
      </c>
      <c r="I224" t="s">
        <v>61</v>
      </c>
      <c r="J224" s="12">
        <v>45364</v>
      </c>
      <c r="K224" t="s">
        <v>6</v>
      </c>
    </row>
    <row r="225" spans="1:11" x14ac:dyDescent="0.3">
      <c r="A225">
        <v>281</v>
      </c>
      <c r="B225" t="s">
        <v>63</v>
      </c>
      <c r="C225" t="s">
        <v>7</v>
      </c>
      <c r="D225">
        <v>20</v>
      </c>
      <c r="E225">
        <v>86</v>
      </c>
      <c r="F225" t="s">
        <v>59</v>
      </c>
      <c r="G225">
        <v>48.504716999999999</v>
      </c>
      <c r="H225">
        <v>20.558726</v>
      </c>
      <c r="I225" t="s">
        <v>61</v>
      </c>
      <c r="J225" s="12">
        <v>45364</v>
      </c>
      <c r="K225" t="s">
        <v>6</v>
      </c>
    </row>
    <row r="226" spans="1:11" x14ac:dyDescent="0.3">
      <c r="A226">
        <v>282</v>
      </c>
      <c r="B226" t="s">
        <v>64</v>
      </c>
      <c r="C226" t="s">
        <v>4</v>
      </c>
      <c r="D226">
        <v>0.36</v>
      </c>
      <c r="E226">
        <v>23</v>
      </c>
      <c r="F226" t="s">
        <v>62</v>
      </c>
      <c r="G226">
        <v>52.241509999999998</v>
      </c>
      <c r="H226">
        <v>21.052575000000001</v>
      </c>
      <c r="I226" t="s">
        <v>8</v>
      </c>
      <c r="J226" s="12">
        <v>45364</v>
      </c>
      <c r="K226" t="s">
        <v>6</v>
      </c>
    </row>
    <row r="227" spans="1:11" x14ac:dyDescent="0.3">
      <c r="A227">
        <v>283</v>
      </c>
      <c r="B227" t="s">
        <v>64</v>
      </c>
      <c r="C227" t="s">
        <v>7</v>
      </c>
      <c r="D227">
        <v>0.26</v>
      </c>
      <c r="E227">
        <v>18</v>
      </c>
      <c r="F227" t="s">
        <v>59</v>
      </c>
      <c r="G227">
        <v>47.505768000000003</v>
      </c>
      <c r="H227">
        <v>18.943674000000001</v>
      </c>
      <c r="I227" t="s">
        <v>61</v>
      </c>
      <c r="J227" s="12">
        <v>45364</v>
      </c>
      <c r="K227" t="s">
        <v>6</v>
      </c>
    </row>
    <row r="228" spans="1:11" x14ac:dyDescent="0.3">
      <c r="A228">
        <v>284</v>
      </c>
      <c r="B228" t="s">
        <v>64</v>
      </c>
      <c r="C228" t="s">
        <v>11</v>
      </c>
      <c r="D228">
        <v>0.33500000000000002</v>
      </c>
      <c r="E228">
        <v>18</v>
      </c>
      <c r="F228" t="s">
        <v>59</v>
      </c>
      <c r="G228">
        <v>48.161549000000001</v>
      </c>
      <c r="H228">
        <v>11.493041</v>
      </c>
      <c r="I228" t="s">
        <v>61</v>
      </c>
      <c r="J228" s="12">
        <v>45364</v>
      </c>
      <c r="K228" t="s">
        <v>12</v>
      </c>
    </row>
    <row r="229" spans="1:11" x14ac:dyDescent="0.3">
      <c r="A229">
        <v>285</v>
      </c>
      <c r="B229" t="s">
        <v>65</v>
      </c>
      <c r="C229" t="s">
        <v>15</v>
      </c>
      <c r="D229">
        <v>0.6</v>
      </c>
      <c r="E229">
        <v>15</v>
      </c>
      <c r="F229" t="s">
        <v>62</v>
      </c>
      <c r="G229">
        <v>49.939297000000003</v>
      </c>
      <c r="H229">
        <v>14.181452999999999</v>
      </c>
      <c r="I229" t="s">
        <v>61</v>
      </c>
      <c r="J229" s="12">
        <v>45364</v>
      </c>
      <c r="K229" t="s">
        <v>14</v>
      </c>
    </row>
    <row r="230" spans="1:11" x14ac:dyDescent="0.3">
      <c r="A230">
        <v>286</v>
      </c>
      <c r="B230" t="s">
        <v>64</v>
      </c>
      <c r="C230" t="s">
        <v>13</v>
      </c>
      <c r="D230">
        <v>0.28799999999999998</v>
      </c>
      <c r="E230">
        <v>18</v>
      </c>
      <c r="F230" t="s">
        <v>62</v>
      </c>
      <c r="G230">
        <v>48.185952999999998</v>
      </c>
      <c r="H230">
        <v>17.083929999999999</v>
      </c>
      <c r="I230" t="s">
        <v>61</v>
      </c>
      <c r="J230" s="12">
        <v>45364</v>
      </c>
      <c r="K230" t="s">
        <v>14</v>
      </c>
    </row>
    <row r="231" spans="1:11" x14ac:dyDescent="0.3">
      <c r="A231">
        <v>289</v>
      </c>
      <c r="B231" t="s">
        <v>58</v>
      </c>
      <c r="C231" t="s">
        <v>4</v>
      </c>
      <c r="D231">
        <v>610</v>
      </c>
      <c r="E231">
        <v>258</v>
      </c>
      <c r="F231" t="s">
        <v>62</v>
      </c>
      <c r="G231">
        <v>52.821134999999998</v>
      </c>
      <c r="H231">
        <v>23.809947000000001</v>
      </c>
      <c r="I231" t="s">
        <v>61</v>
      </c>
      <c r="J231" s="12">
        <v>45365</v>
      </c>
      <c r="K231" t="s">
        <v>6</v>
      </c>
    </row>
    <row r="232" spans="1:11" x14ac:dyDescent="0.3">
      <c r="A232">
        <v>290</v>
      </c>
      <c r="B232" t="s">
        <v>65</v>
      </c>
      <c r="C232" t="s">
        <v>7</v>
      </c>
      <c r="D232">
        <v>0.7</v>
      </c>
      <c r="E232">
        <v>21</v>
      </c>
      <c r="F232" t="s">
        <v>62</v>
      </c>
      <c r="G232">
        <v>48.509199000000002</v>
      </c>
      <c r="H232">
        <v>20.552447000000001</v>
      </c>
      <c r="I232" t="s">
        <v>61</v>
      </c>
      <c r="J232" s="12">
        <v>45365</v>
      </c>
      <c r="K232" t="s">
        <v>6</v>
      </c>
    </row>
    <row r="233" spans="1:11" x14ac:dyDescent="0.3">
      <c r="A233">
        <v>291</v>
      </c>
      <c r="B233" t="s">
        <v>65</v>
      </c>
      <c r="C233" t="s">
        <v>4</v>
      </c>
      <c r="D233">
        <v>1</v>
      </c>
      <c r="E233">
        <v>21</v>
      </c>
      <c r="F233" t="s">
        <v>62</v>
      </c>
      <c r="G233">
        <v>52.213985000000001</v>
      </c>
      <c r="H233">
        <v>21.030840999999999</v>
      </c>
      <c r="I233" t="s">
        <v>61</v>
      </c>
      <c r="J233" s="12">
        <v>45365</v>
      </c>
      <c r="K233" t="s">
        <v>6</v>
      </c>
    </row>
    <row r="234" spans="1:11" x14ac:dyDescent="0.3">
      <c r="A234">
        <v>292</v>
      </c>
      <c r="B234" t="s">
        <v>65</v>
      </c>
      <c r="C234" t="s">
        <v>4</v>
      </c>
      <c r="D234">
        <v>0.8</v>
      </c>
      <c r="E234">
        <v>15</v>
      </c>
      <c r="F234" t="s">
        <v>62</v>
      </c>
      <c r="G234">
        <v>52.213876999999997</v>
      </c>
      <c r="H234">
        <v>21.030861000000002</v>
      </c>
      <c r="I234" t="s">
        <v>61</v>
      </c>
      <c r="J234" s="12">
        <v>45365</v>
      </c>
      <c r="K234" t="s">
        <v>6</v>
      </c>
    </row>
    <row r="235" spans="1:11" x14ac:dyDescent="0.3">
      <c r="A235">
        <v>293</v>
      </c>
      <c r="B235" t="s">
        <v>64</v>
      </c>
      <c r="C235" t="s">
        <v>4</v>
      </c>
      <c r="D235">
        <v>0.32</v>
      </c>
      <c r="E235">
        <v>21</v>
      </c>
      <c r="F235" t="s">
        <v>62</v>
      </c>
      <c r="G235">
        <v>52.241309000000001</v>
      </c>
      <c r="H235">
        <v>21.057247</v>
      </c>
      <c r="I235" t="s">
        <v>61</v>
      </c>
      <c r="J235" s="12">
        <v>45365</v>
      </c>
      <c r="K235" t="s">
        <v>6</v>
      </c>
    </row>
    <row r="236" spans="1:11" x14ac:dyDescent="0.3">
      <c r="A236">
        <v>294</v>
      </c>
      <c r="B236" t="s">
        <v>64</v>
      </c>
      <c r="C236" t="s">
        <v>7</v>
      </c>
      <c r="D236">
        <v>0.28699999999999998</v>
      </c>
      <c r="E236">
        <v>23</v>
      </c>
      <c r="F236" t="s">
        <v>62</v>
      </c>
      <c r="G236">
        <v>47.508679000000001</v>
      </c>
      <c r="H236">
        <v>18.946127000000001</v>
      </c>
      <c r="I236" t="s">
        <v>61</v>
      </c>
      <c r="J236" s="12">
        <v>45365</v>
      </c>
      <c r="K236" t="s">
        <v>6</v>
      </c>
    </row>
    <row r="237" spans="1:11" x14ac:dyDescent="0.3">
      <c r="A237">
        <v>295</v>
      </c>
      <c r="B237" t="s">
        <v>65</v>
      </c>
      <c r="C237" t="s">
        <v>17</v>
      </c>
      <c r="D237">
        <v>0.8</v>
      </c>
      <c r="E237">
        <v>24</v>
      </c>
      <c r="F237" t="s">
        <v>60</v>
      </c>
      <c r="G237">
        <v>47.781689</v>
      </c>
      <c r="H237">
        <v>14.386777</v>
      </c>
      <c r="I237" t="s">
        <v>61</v>
      </c>
      <c r="J237" s="12">
        <v>45365</v>
      </c>
      <c r="K237" t="s">
        <v>12</v>
      </c>
    </row>
    <row r="238" spans="1:11" x14ac:dyDescent="0.3">
      <c r="A238">
        <v>296</v>
      </c>
      <c r="B238" t="s">
        <v>65</v>
      </c>
      <c r="C238" t="s">
        <v>17</v>
      </c>
      <c r="D238">
        <v>0.7</v>
      </c>
      <c r="E238">
        <v>19</v>
      </c>
      <c r="F238" t="s">
        <v>62</v>
      </c>
      <c r="G238">
        <v>47.781139000000003</v>
      </c>
      <c r="H238">
        <v>14.382004</v>
      </c>
      <c r="I238" t="s">
        <v>61</v>
      </c>
      <c r="J238" s="12">
        <v>45365</v>
      </c>
      <c r="K238" t="s">
        <v>12</v>
      </c>
    </row>
    <row r="239" spans="1:11" x14ac:dyDescent="0.3">
      <c r="A239">
        <v>297</v>
      </c>
      <c r="B239" t="s">
        <v>65</v>
      </c>
      <c r="C239" t="s">
        <v>17</v>
      </c>
      <c r="D239">
        <v>0.8</v>
      </c>
      <c r="E239">
        <v>20</v>
      </c>
      <c r="F239" t="s">
        <v>59</v>
      </c>
      <c r="G239">
        <v>47.781827999999997</v>
      </c>
      <c r="H239">
        <v>14.385001000000001</v>
      </c>
      <c r="I239" t="s">
        <v>61</v>
      </c>
      <c r="J239" s="12">
        <v>45365</v>
      </c>
      <c r="K239" t="s">
        <v>12</v>
      </c>
    </row>
    <row r="240" spans="1:11" x14ac:dyDescent="0.3">
      <c r="A240">
        <v>298</v>
      </c>
      <c r="B240" t="s">
        <v>65</v>
      </c>
      <c r="C240" t="s">
        <v>17</v>
      </c>
      <c r="D240">
        <v>0.6</v>
      </c>
      <c r="E240">
        <v>14</v>
      </c>
      <c r="F240" t="s">
        <v>62</v>
      </c>
      <c r="G240">
        <v>47.781059999999997</v>
      </c>
      <c r="H240">
        <v>14.386806999999999</v>
      </c>
      <c r="I240" t="s">
        <v>61</v>
      </c>
      <c r="J240" s="12">
        <v>45365</v>
      </c>
      <c r="K240" t="s">
        <v>12</v>
      </c>
    </row>
    <row r="241" spans="1:11" x14ac:dyDescent="0.3">
      <c r="A241">
        <v>299</v>
      </c>
      <c r="B241" t="s">
        <v>65</v>
      </c>
      <c r="C241" t="s">
        <v>17</v>
      </c>
      <c r="D241">
        <v>0.7</v>
      </c>
      <c r="E241">
        <v>24</v>
      </c>
      <c r="F241" t="s">
        <v>59</v>
      </c>
      <c r="G241">
        <v>47.780872000000002</v>
      </c>
      <c r="H241">
        <v>14.384460000000001</v>
      </c>
      <c r="I241" t="s">
        <v>61</v>
      </c>
      <c r="J241" s="12">
        <v>45365</v>
      </c>
      <c r="K241" t="s">
        <v>12</v>
      </c>
    </row>
    <row r="242" spans="1:11" x14ac:dyDescent="0.3">
      <c r="A242">
        <v>300</v>
      </c>
      <c r="B242" t="s">
        <v>65</v>
      </c>
      <c r="C242" t="s">
        <v>17</v>
      </c>
      <c r="D242">
        <v>0.8</v>
      </c>
      <c r="E242">
        <v>21</v>
      </c>
      <c r="F242" t="s">
        <v>62</v>
      </c>
      <c r="G242">
        <v>47.781117000000002</v>
      </c>
      <c r="H242">
        <v>14.38608</v>
      </c>
      <c r="I242" t="s">
        <v>61</v>
      </c>
      <c r="J242" s="12">
        <v>45365</v>
      </c>
      <c r="K242" t="s">
        <v>12</v>
      </c>
    </row>
    <row r="243" spans="1:11" x14ac:dyDescent="0.3">
      <c r="A243">
        <v>301</v>
      </c>
      <c r="B243" t="s">
        <v>63</v>
      </c>
      <c r="C243" t="s">
        <v>17</v>
      </c>
      <c r="D243">
        <v>22</v>
      </c>
      <c r="E243">
        <v>80</v>
      </c>
      <c r="F243" t="s">
        <v>62</v>
      </c>
      <c r="G243">
        <v>47.780779000000003</v>
      </c>
      <c r="H243">
        <v>14.384918000000001</v>
      </c>
      <c r="I243" t="s">
        <v>61</v>
      </c>
      <c r="J243" s="12">
        <v>45365</v>
      </c>
      <c r="K243" t="s">
        <v>12</v>
      </c>
    </row>
    <row r="244" spans="1:11" x14ac:dyDescent="0.3">
      <c r="A244">
        <v>302</v>
      </c>
      <c r="B244" t="s">
        <v>63</v>
      </c>
      <c r="C244" t="s">
        <v>17</v>
      </c>
      <c r="D244">
        <v>23</v>
      </c>
      <c r="E244">
        <v>86</v>
      </c>
      <c r="F244" t="s">
        <v>59</v>
      </c>
      <c r="G244">
        <v>47.781256999999997</v>
      </c>
      <c r="H244">
        <v>14.383099</v>
      </c>
      <c r="I244" t="s">
        <v>61</v>
      </c>
      <c r="J244" s="12">
        <v>45365</v>
      </c>
      <c r="K244" t="s">
        <v>12</v>
      </c>
    </row>
    <row r="245" spans="1:11" x14ac:dyDescent="0.3">
      <c r="A245">
        <v>303</v>
      </c>
      <c r="B245" t="s">
        <v>65</v>
      </c>
      <c r="C245" t="s">
        <v>15</v>
      </c>
      <c r="D245">
        <v>0.9</v>
      </c>
      <c r="E245">
        <v>16</v>
      </c>
      <c r="F245" t="s">
        <v>62</v>
      </c>
      <c r="G245">
        <v>49.938490000000002</v>
      </c>
      <c r="H245">
        <v>14.180199999999999</v>
      </c>
      <c r="I245" t="s">
        <v>61</v>
      </c>
      <c r="J245" s="12">
        <v>45365</v>
      </c>
      <c r="K245" t="s">
        <v>14</v>
      </c>
    </row>
    <row r="246" spans="1:11" x14ac:dyDescent="0.3">
      <c r="A246">
        <v>306</v>
      </c>
      <c r="B246" t="s">
        <v>65</v>
      </c>
      <c r="C246" t="s">
        <v>4</v>
      </c>
      <c r="D246">
        <v>0.9</v>
      </c>
      <c r="E246">
        <v>22</v>
      </c>
      <c r="F246" t="s">
        <v>59</v>
      </c>
      <c r="G246">
        <v>52.214497999999999</v>
      </c>
      <c r="H246">
        <v>21.034200999999999</v>
      </c>
      <c r="I246" t="s">
        <v>61</v>
      </c>
      <c r="J246" s="12">
        <v>45366</v>
      </c>
      <c r="K246" t="s">
        <v>6</v>
      </c>
    </row>
    <row r="247" spans="1:11" x14ac:dyDescent="0.3">
      <c r="A247">
        <v>307</v>
      </c>
      <c r="B247" t="s">
        <v>63</v>
      </c>
      <c r="C247" t="s">
        <v>4</v>
      </c>
      <c r="D247">
        <v>16</v>
      </c>
      <c r="E247">
        <v>70</v>
      </c>
      <c r="F247" t="s">
        <v>59</v>
      </c>
      <c r="G247">
        <v>52.803128999999998</v>
      </c>
      <c r="H247">
        <v>23.844358</v>
      </c>
      <c r="I247" t="s">
        <v>61</v>
      </c>
      <c r="J247" s="12">
        <v>45366</v>
      </c>
      <c r="K247" t="s">
        <v>6</v>
      </c>
    </row>
    <row r="248" spans="1:11" x14ac:dyDescent="0.3">
      <c r="A248">
        <v>308</v>
      </c>
      <c r="B248" t="s">
        <v>65</v>
      </c>
      <c r="C248" t="s">
        <v>15</v>
      </c>
      <c r="D248">
        <v>0.7</v>
      </c>
      <c r="E248">
        <v>21</v>
      </c>
      <c r="F248" t="s">
        <v>62</v>
      </c>
      <c r="G248">
        <v>49.938132000000003</v>
      </c>
      <c r="H248">
        <v>14.181225</v>
      </c>
      <c r="I248" t="s">
        <v>61</v>
      </c>
      <c r="J248" s="12">
        <v>45366</v>
      </c>
      <c r="K248" t="s">
        <v>14</v>
      </c>
    </row>
    <row r="249" spans="1:11" x14ac:dyDescent="0.3">
      <c r="A249">
        <v>309</v>
      </c>
      <c r="B249" t="s">
        <v>64</v>
      </c>
      <c r="C249" t="s">
        <v>13</v>
      </c>
      <c r="D249">
        <v>0.29399999999999998</v>
      </c>
      <c r="E249">
        <v>23</v>
      </c>
      <c r="F249" t="s">
        <v>59</v>
      </c>
      <c r="G249">
        <v>48.184373999999998</v>
      </c>
      <c r="H249">
        <v>17.085999999999999</v>
      </c>
      <c r="I249" t="s">
        <v>61</v>
      </c>
      <c r="J249" s="12">
        <v>45366</v>
      </c>
      <c r="K249" t="s">
        <v>14</v>
      </c>
    </row>
    <row r="250" spans="1:11" x14ac:dyDescent="0.3">
      <c r="A250">
        <v>310</v>
      </c>
      <c r="B250" t="s">
        <v>64</v>
      </c>
      <c r="C250" t="s">
        <v>15</v>
      </c>
      <c r="D250">
        <v>0.26700000000000002</v>
      </c>
      <c r="E250">
        <v>18</v>
      </c>
      <c r="F250" t="s">
        <v>62</v>
      </c>
      <c r="G250">
        <v>49.938859999999998</v>
      </c>
      <c r="H250">
        <v>14.182738000000001</v>
      </c>
      <c r="I250" t="s">
        <v>61</v>
      </c>
      <c r="J250" s="12">
        <v>45366</v>
      </c>
      <c r="K250" t="s">
        <v>14</v>
      </c>
    </row>
    <row r="251" spans="1:11" x14ac:dyDescent="0.3">
      <c r="A251">
        <v>311</v>
      </c>
      <c r="B251" t="s">
        <v>64</v>
      </c>
      <c r="C251" t="s">
        <v>15</v>
      </c>
      <c r="D251">
        <v>0.32800000000000001</v>
      </c>
      <c r="E251">
        <v>19</v>
      </c>
      <c r="F251" t="s">
        <v>59</v>
      </c>
      <c r="G251">
        <v>49.938357000000003</v>
      </c>
      <c r="H251">
        <v>14.177929000000001</v>
      </c>
      <c r="I251" t="s">
        <v>61</v>
      </c>
      <c r="J251" s="12">
        <v>45366</v>
      </c>
      <c r="K251" t="s">
        <v>14</v>
      </c>
    </row>
    <row r="252" spans="1:11" x14ac:dyDescent="0.3">
      <c r="A252">
        <v>312</v>
      </c>
      <c r="B252" t="s">
        <v>58</v>
      </c>
      <c r="C252" t="s">
        <v>4</v>
      </c>
      <c r="D252">
        <v>35</v>
      </c>
      <c r="E252">
        <v>125</v>
      </c>
      <c r="F252" t="s">
        <v>62</v>
      </c>
      <c r="G252">
        <v>52.820739000000003</v>
      </c>
      <c r="H252">
        <v>23.815145000000001</v>
      </c>
      <c r="I252" t="s">
        <v>61</v>
      </c>
      <c r="J252" s="12">
        <v>45367</v>
      </c>
      <c r="K252" t="s">
        <v>6</v>
      </c>
    </row>
    <row r="253" spans="1:11" x14ac:dyDescent="0.3">
      <c r="A253">
        <v>313</v>
      </c>
      <c r="B253" t="s">
        <v>65</v>
      </c>
      <c r="C253" t="s">
        <v>7</v>
      </c>
      <c r="D253">
        <v>0.6</v>
      </c>
      <c r="E253">
        <v>23</v>
      </c>
      <c r="F253" t="s">
        <v>59</v>
      </c>
      <c r="G253">
        <v>48.501762999999997</v>
      </c>
      <c r="H253">
        <v>20.547975999999998</v>
      </c>
      <c r="I253" t="s">
        <v>61</v>
      </c>
      <c r="J253" s="12">
        <v>45367</v>
      </c>
      <c r="K253" t="s">
        <v>6</v>
      </c>
    </row>
    <row r="254" spans="1:11" x14ac:dyDescent="0.3">
      <c r="A254">
        <v>314</v>
      </c>
      <c r="B254" t="s">
        <v>63</v>
      </c>
      <c r="C254" t="s">
        <v>4</v>
      </c>
      <c r="D254">
        <v>16</v>
      </c>
      <c r="E254">
        <v>72</v>
      </c>
      <c r="F254" t="s">
        <v>59</v>
      </c>
      <c r="G254">
        <v>52.814211</v>
      </c>
      <c r="H254">
        <v>23.834358000000002</v>
      </c>
      <c r="I254" t="s">
        <v>61</v>
      </c>
      <c r="J254" s="12">
        <v>45367</v>
      </c>
      <c r="K254" t="s">
        <v>6</v>
      </c>
    </row>
    <row r="255" spans="1:11" x14ac:dyDescent="0.3">
      <c r="A255">
        <v>315</v>
      </c>
      <c r="B255" t="s">
        <v>63</v>
      </c>
      <c r="C255" t="s">
        <v>4</v>
      </c>
      <c r="D255">
        <v>18</v>
      </c>
      <c r="E255">
        <v>81</v>
      </c>
      <c r="F255" t="s">
        <v>62</v>
      </c>
      <c r="G255">
        <v>52.802757</v>
      </c>
      <c r="H255">
        <v>23.835198999999999</v>
      </c>
      <c r="I255" t="s">
        <v>61</v>
      </c>
      <c r="J255" s="12">
        <v>45367</v>
      </c>
      <c r="K255" t="s">
        <v>6</v>
      </c>
    </row>
    <row r="256" spans="1:11" x14ac:dyDescent="0.3">
      <c r="A256">
        <v>316</v>
      </c>
      <c r="B256" t="s">
        <v>64</v>
      </c>
      <c r="C256" t="s">
        <v>4</v>
      </c>
      <c r="D256">
        <v>0.34599999999999997</v>
      </c>
      <c r="E256">
        <v>19</v>
      </c>
      <c r="F256" t="s">
        <v>59</v>
      </c>
      <c r="G256">
        <v>52.240529000000002</v>
      </c>
      <c r="H256">
        <v>21.053602999999999</v>
      </c>
      <c r="I256" t="s">
        <v>61</v>
      </c>
      <c r="J256" s="12">
        <v>45367</v>
      </c>
      <c r="K256" t="s">
        <v>6</v>
      </c>
    </row>
    <row r="257" spans="1:11" x14ac:dyDescent="0.3">
      <c r="A257">
        <v>317</v>
      </c>
      <c r="B257" t="s">
        <v>64</v>
      </c>
      <c r="C257" t="s">
        <v>7</v>
      </c>
      <c r="D257">
        <v>0.27</v>
      </c>
      <c r="E257">
        <v>22</v>
      </c>
      <c r="F257" t="s">
        <v>62</v>
      </c>
      <c r="G257">
        <v>47.509866000000002</v>
      </c>
      <c r="H257">
        <v>18.942537999999999</v>
      </c>
      <c r="I257" t="s">
        <v>61</v>
      </c>
      <c r="J257" s="12">
        <v>45367</v>
      </c>
      <c r="K257" t="s">
        <v>6</v>
      </c>
    </row>
    <row r="258" spans="1:11" x14ac:dyDescent="0.3">
      <c r="A258">
        <v>318</v>
      </c>
      <c r="B258" t="s">
        <v>64</v>
      </c>
      <c r="C258" t="s">
        <v>13</v>
      </c>
      <c r="D258">
        <v>0.32600000000000001</v>
      </c>
      <c r="E258">
        <v>19</v>
      </c>
      <c r="F258" t="s">
        <v>62</v>
      </c>
      <c r="G258">
        <v>48.185585000000003</v>
      </c>
      <c r="H258">
        <v>17.091365</v>
      </c>
      <c r="I258" t="s">
        <v>61</v>
      </c>
      <c r="J258" s="12">
        <v>45367</v>
      </c>
      <c r="K258" t="s">
        <v>14</v>
      </c>
    </row>
    <row r="259" spans="1:11" x14ac:dyDescent="0.3">
      <c r="A259">
        <v>321</v>
      </c>
      <c r="B259" t="s">
        <v>58</v>
      </c>
      <c r="C259" t="s">
        <v>4</v>
      </c>
      <c r="D259">
        <v>915</v>
      </c>
      <c r="E259">
        <v>304</v>
      </c>
      <c r="F259" t="s">
        <v>59</v>
      </c>
      <c r="G259">
        <v>52.822879999999998</v>
      </c>
      <c r="H259">
        <v>23.810852000000001</v>
      </c>
      <c r="I259" t="s">
        <v>61</v>
      </c>
      <c r="J259" s="12">
        <v>45368</v>
      </c>
      <c r="K259" t="s">
        <v>6</v>
      </c>
    </row>
    <row r="260" spans="1:11" x14ac:dyDescent="0.3">
      <c r="A260">
        <v>322</v>
      </c>
      <c r="B260" t="s">
        <v>65</v>
      </c>
      <c r="C260" t="s">
        <v>7</v>
      </c>
      <c r="D260">
        <v>0.7</v>
      </c>
      <c r="E260">
        <v>15</v>
      </c>
      <c r="F260" t="s">
        <v>62</v>
      </c>
      <c r="G260">
        <v>48.504773</v>
      </c>
      <c r="H260">
        <v>20.536543000000002</v>
      </c>
      <c r="I260" t="s">
        <v>61</v>
      </c>
      <c r="J260" s="12">
        <v>45368</v>
      </c>
      <c r="K260" t="s">
        <v>6</v>
      </c>
    </row>
    <row r="261" spans="1:11" x14ac:dyDescent="0.3">
      <c r="A261">
        <v>323</v>
      </c>
      <c r="B261" t="s">
        <v>65</v>
      </c>
      <c r="C261" t="s">
        <v>4</v>
      </c>
      <c r="D261">
        <v>0.6</v>
      </c>
      <c r="E261">
        <v>15</v>
      </c>
      <c r="F261" t="s">
        <v>62</v>
      </c>
      <c r="G261">
        <v>52.214745000000001</v>
      </c>
      <c r="H261">
        <v>21.033701000000001</v>
      </c>
      <c r="I261" t="s">
        <v>61</v>
      </c>
      <c r="J261" s="12">
        <v>45368</v>
      </c>
      <c r="K261" t="s">
        <v>6</v>
      </c>
    </row>
    <row r="262" spans="1:11" x14ac:dyDescent="0.3">
      <c r="A262">
        <v>324</v>
      </c>
      <c r="B262" t="s">
        <v>64</v>
      </c>
      <c r="C262" t="s">
        <v>7</v>
      </c>
      <c r="D262">
        <v>0.27800000000000002</v>
      </c>
      <c r="E262">
        <v>21</v>
      </c>
      <c r="F262" t="s">
        <v>62</v>
      </c>
      <c r="G262">
        <v>47.510303999999998</v>
      </c>
      <c r="H262">
        <v>18.942924999999999</v>
      </c>
      <c r="I262" t="s">
        <v>61</v>
      </c>
      <c r="J262" s="12">
        <v>45368</v>
      </c>
      <c r="K262" t="s">
        <v>6</v>
      </c>
    </row>
    <row r="263" spans="1:11" x14ac:dyDescent="0.3">
      <c r="A263">
        <v>325</v>
      </c>
      <c r="B263" t="s">
        <v>64</v>
      </c>
      <c r="C263" t="s">
        <v>13</v>
      </c>
      <c r="D263">
        <v>0.32200000000000001</v>
      </c>
      <c r="E263">
        <v>23</v>
      </c>
      <c r="F263" t="s">
        <v>62</v>
      </c>
      <c r="G263">
        <v>49.056857000000001</v>
      </c>
      <c r="H263">
        <v>22.416369</v>
      </c>
      <c r="I263" t="s">
        <v>61</v>
      </c>
      <c r="J263" s="12">
        <v>45368</v>
      </c>
      <c r="K263" t="s">
        <v>14</v>
      </c>
    </row>
    <row r="264" spans="1:11" x14ac:dyDescent="0.3">
      <c r="A264">
        <v>326</v>
      </c>
      <c r="B264" t="s">
        <v>64</v>
      </c>
      <c r="C264" t="s">
        <v>13</v>
      </c>
      <c r="D264">
        <v>0.30199999999999999</v>
      </c>
      <c r="E264">
        <v>23</v>
      </c>
      <c r="F264" t="s">
        <v>59</v>
      </c>
      <c r="G264">
        <v>48.412370000000003</v>
      </c>
      <c r="H264">
        <v>18.875325</v>
      </c>
      <c r="I264" t="s">
        <v>61</v>
      </c>
      <c r="J264" s="12">
        <v>45368</v>
      </c>
      <c r="K264" t="s">
        <v>14</v>
      </c>
    </row>
    <row r="265" spans="1:11" x14ac:dyDescent="0.3">
      <c r="A265">
        <v>327</v>
      </c>
      <c r="B265" t="s">
        <v>64</v>
      </c>
      <c r="C265" t="s">
        <v>13</v>
      </c>
      <c r="D265">
        <v>0.33400000000000002</v>
      </c>
      <c r="E265">
        <v>20</v>
      </c>
      <c r="F265" t="s">
        <v>62</v>
      </c>
      <c r="G265">
        <v>48.406982999999997</v>
      </c>
      <c r="H265">
        <v>18.863197</v>
      </c>
      <c r="I265" t="s">
        <v>61</v>
      </c>
      <c r="J265" s="12">
        <v>45368</v>
      </c>
      <c r="K265" t="s">
        <v>14</v>
      </c>
    </row>
    <row r="266" spans="1:11" x14ac:dyDescent="0.3">
      <c r="A266">
        <v>328</v>
      </c>
      <c r="B266" t="s">
        <v>64</v>
      </c>
      <c r="C266" t="s">
        <v>13</v>
      </c>
      <c r="D266">
        <v>0.28000000000000003</v>
      </c>
      <c r="E266">
        <v>19</v>
      </c>
      <c r="F266" t="s">
        <v>59</v>
      </c>
      <c r="G266">
        <v>48.411485999999996</v>
      </c>
      <c r="H266">
        <v>18.867730000000002</v>
      </c>
      <c r="I266" t="s">
        <v>61</v>
      </c>
      <c r="J266" s="12">
        <v>45368</v>
      </c>
      <c r="K266" t="s">
        <v>14</v>
      </c>
    </row>
    <row r="267" spans="1:11" x14ac:dyDescent="0.3">
      <c r="A267">
        <v>329</v>
      </c>
      <c r="B267" t="s">
        <v>64</v>
      </c>
      <c r="C267" t="s">
        <v>13</v>
      </c>
      <c r="D267">
        <v>0.28899999999999998</v>
      </c>
      <c r="E267">
        <v>18</v>
      </c>
      <c r="F267" t="s">
        <v>59</v>
      </c>
      <c r="G267">
        <v>48.410536</v>
      </c>
      <c r="H267">
        <v>18.870325000000001</v>
      </c>
      <c r="I267" t="s">
        <v>61</v>
      </c>
      <c r="J267" s="12">
        <v>45368</v>
      </c>
      <c r="K267" t="s">
        <v>14</v>
      </c>
    </row>
    <row r="268" spans="1:11" x14ac:dyDescent="0.3">
      <c r="A268">
        <v>331</v>
      </c>
      <c r="B268" t="s">
        <v>58</v>
      </c>
      <c r="C268" t="s">
        <v>4</v>
      </c>
      <c r="D268">
        <v>537</v>
      </c>
      <c r="E268">
        <v>287</v>
      </c>
      <c r="F268" t="s">
        <v>62</v>
      </c>
      <c r="G268">
        <v>52.825499999999998</v>
      </c>
      <c r="H268">
        <v>23.808385999999999</v>
      </c>
      <c r="I268" t="s">
        <v>61</v>
      </c>
      <c r="J268" s="12">
        <v>45369</v>
      </c>
      <c r="K268" t="s">
        <v>6</v>
      </c>
    </row>
    <row r="269" spans="1:11" x14ac:dyDescent="0.3">
      <c r="A269">
        <v>332</v>
      </c>
      <c r="B269" t="s">
        <v>64</v>
      </c>
      <c r="C269" t="s">
        <v>4</v>
      </c>
      <c r="D269">
        <v>0.34599999999999997</v>
      </c>
      <c r="E269">
        <v>23</v>
      </c>
      <c r="F269" t="s">
        <v>59</v>
      </c>
      <c r="G269">
        <v>52.240737000000003</v>
      </c>
      <c r="H269">
        <v>21.053063000000002</v>
      </c>
      <c r="I269" t="s">
        <v>61</v>
      </c>
      <c r="J269" s="12">
        <v>45369</v>
      </c>
      <c r="K269" t="s">
        <v>6</v>
      </c>
    </row>
    <row r="270" spans="1:11" x14ac:dyDescent="0.3">
      <c r="A270">
        <v>333</v>
      </c>
      <c r="B270" t="s">
        <v>65</v>
      </c>
      <c r="C270" t="s">
        <v>15</v>
      </c>
      <c r="D270">
        <v>1.2</v>
      </c>
      <c r="E270">
        <v>26</v>
      </c>
      <c r="F270" t="s">
        <v>59</v>
      </c>
      <c r="G270">
        <v>49.938547</v>
      </c>
      <c r="H270">
        <v>14.180402000000001</v>
      </c>
      <c r="I270" t="s">
        <v>61</v>
      </c>
      <c r="J270" s="12">
        <v>45369</v>
      </c>
      <c r="K270" t="s">
        <v>14</v>
      </c>
    </row>
    <row r="271" spans="1:11" x14ac:dyDescent="0.3">
      <c r="A271">
        <v>334</v>
      </c>
      <c r="B271" t="s">
        <v>65</v>
      </c>
      <c r="C271" t="s">
        <v>15</v>
      </c>
      <c r="D271">
        <v>0.9</v>
      </c>
      <c r="E271">
        <v>17</v>
      </c>
      <c r="F271" t="s">
        <v>59</v>
      </c>
      <c r="G271">
        <v>49.937429000000002</v>
      </c>
      <c r="H271">
        <v>14.182639999999999</v>
      </c>
      <c r="I271" t="s">
        <v>61</v>
      </c>
      <c r="J271" s="12">
        <v>45369</v>
      </c>
      <c r="K271" t="s">
        <v>14</v>
      </c>
    </row>
    <row r="272" spans="1:11" x14ac:dyDescent="0.3">
      <c r="A272">
        <v>335</v>
      </c>
      <c r="B272" t="s">
        <v>64</v>
      </c>
      <c r="C272" t="s">
        <v>15</v>
      </c>
      <c r="D272">
        <v>0.32</v>
      </c>
      <c r="E272">
        <v>18</v>
      </c>
      <c r="F272" t="s">
        <v>62</v>
      </c>
      <c r="G272">
        <v>49.938634</v>
      </c>
      <c r="H272">
        <v>14.179739</v>
      </c>
      <c r="I272" t="s">
        <v>61</v>
      </c>
      <c r="J272" s="12">
        <v>45369</v>
      </c>
      <c r="K272" t="s">
        <v>14</v>
      </c>
    </row>
    <row r="273" spans="1:11" x14ac:dyDescent="0.3">
      <c r="A273">
        <v>336</v>
      </c>
      <c r="B273" t="s">
        <v>64</v>
      </c>
      <c r="C273" t="s">
        <v>15</v>
      </c>
      <c r="D273">
        <v>0.26600000000000001</v>
      </c>
      <c r="E273">
        <v>17</v>
      </c>
      <c r="F273" t="s">
        <v>59</v>
      </c>
      <c r="G273">
        <v>49.939062</v>
      </c>
      <c r="H273">
        <v>14.177939</v>
      </c>
      <c r="I273" t="s">
        <v>61</v>
      </c>
      <c r="J273" s="12">
        <v>45369</v>
      </c>
      <c r="K273" t="s">
        <v>14</v>
      </c>
    </row>
    <row r="274" spans="1:11" x14ac:dyDescent="0.3">
      <c r="A274">
        <v>338</v>
      </c>
      <c r="B274" t="s">
        <v>65</v>
      </c>
      <c r="C274" t="s">
        <v>7</v>
      </c>
      <c r="D274">
        <v>1.1000000000000001</v>
      </c>
      <c r="E274">
        <v>19</v>
      </c>
      <c r="F274" t="s">
        <v>62</v>
      </c>
      <c r="G274">
        <v>48.502512000000003</v>
      </c>
      <c r="H274">
        <v>20.563331000000002</v>
      </c>
      <c r="I274" t="s">
        <v>61</v>
      </c>
      <c r="J274" s="12">
        <v>45370</v>
      </c>
      <c r="K274" t="s">
        <v>6</v>
      </c>
    </row>
    <row r="275" spans="1:11" x14ac:dyDescent="0.3">
      <c r="A275">
        <v>339</v>
      </c>
      <c r="B275" t="s">
        <v>65</v>
      </c>
      <c r="C275" t="s">
        <v>4</v>
      </c>
      <c r="D275">
        <v>0.4</v>
      </c>
      <c r="E275">
        <v>16</v>
      </c>
      <c r="F275" t="s">
        <v>59</v>
      </c>
      <c r="G275">
        <v>52.214758000000003</v>
      </c>
      <c r="H275">
        <v>21.030697</v>
      </c>
      <c r="I275" t="s">
        <v>61</v>
      </c>
      <c r="J275" s="12">
        <v>45370</v>
      </c>
      <c r="K275" t="s">
        <v>6</v>
      </c>
    </row>
    <row r="276" spans="1:11" x14ac:dyDescent="0.3">
      <c r="A276">
        <v>340</v>
      </c>
      <c r="B276" t="s">
        <v>65</v>
      </c>
      <c r="C276" t="s">
        <v>17</v>
      </c>
      <c r="D276">
        <v>1.1000000000000001</v>
      </c>
      <c r="E276">
        <v>21</v>
      </c>
      <c r="F276" t="s">
        <v>62</v>
      </c>
      <c r="G276">
        <v>47.781211999999996</v>
      </c>
      <c r="H276">
        <v>14.384017</v>
      </c>
      <c r="I276" t="s">
        <v>61</v>
      </c>
      <c r="J276" s="12">
        <v>45370</v>
      </c>
      <c r="K276" t="s">
        <v>12</v>
      </c>
    </row>
    <row r="277" spans="1:11" x14ac:dyDescent="0.3">
      <c r="A277">
        <v>341</v>
      </c>
      <c r="B277" t="s">
        <v>65</v>
      </c>
      <c r="C277" t="s">
        <v>17</v>
      </c>
      <c r="D277">
        <v>0.7</v>
      </c>
      <c r="E277">
        <v>25</v>
      </c>
      <c r="F277" t="s">
        <v>59</v>
      </c>
      <c r="G277">
        <v>47.781764000000003</v>
      </c>
      <c r="H277">
        <v>14.383279999999999</v>
      </c>
      <c r="I277" t="s">
        <v>61</v>
      </c>
      <c r="J277" s="12">
        <v>45370</v>
      </c>
      <c r="K277" t="s">
        <v>12</v>
      </c>
    </row>
    <row r="278" spans="1:11" x14ac:dyDescent="0.3">
      <c r="A278">
        <v>342</v>
      </c>
      <c r="B278" t="s">
        <v>65</v>
      </c>
      <c r="C278" t="s">
        <v>17</v>
      </c>
      <c r="D278">
        <v>1.1000000000000001</v>
      </c>
      <c r="E278">
        <v>24</v>
      </c>
      <c r="F278" t="s">
        <v>59</v>
      </c>
      <c r="G278">
        <v>47.781883000000001</v>
      </c>
      <c r="H278">
        <v>14.382628</v>
      </c>
      <c r="I278" t="s">
        <v>61</v>
      </c>
      <c r="J278" s="12">
        <v>45370</v>
      </c>
      <c r="K278" t="s">
        <v>12</v>
      </c>
    </row>
    <row r="279" spans="1:11" x14ac:dyDescent="0.3">
      <c r="A279">
        <v>343</v>
      </c>
      <c r="B279" t="s">
        <v>65</v>
      </c>
      <c r="C279" t="s">
        <v>17</v>
      </c>
      <c r="D279">
        <v>0.4</v>
      </c>
      <c r="E279">
        <v>21</v>
      </c>
      <c r="F279" t="s">
        <v>62</v>
      </c>
      <c r="G279">
        <v>47.781092999999998</v>
      </c>
      <c r="H279">
        <v>14.38209</v>
      </c>
      <c r="I279" t="s">
        <v>61</v>
      </c>
      <c r="J279" s="12">
        <v>45370</v>
      </c>
      <c r="K279" t="s">
        <v>12</v>
      </c>
    </row>
    <row r="280" spans="1:11" x14ac:dyDescent="0.3">
      <c r="A280">
        <v>344</v>
      </c>
      <c r="B280" t="s">
        <v>65</v>
      </c>
      <c r="C280" t="s">
        <v>11</v>
      </c>
      <c r="D280">
        <v>0.8</v>
      </c>
      <c r="E280">
        <v>16</v>
      </c>
      <c r="F280" t="s">
        <v>59</v>
      </c>
      <c r="G280">
        <v>52.585957999999998</v>
      </c>
      <c r="H280">
        <v>13.147098</v>
      </c>
      <c r="I280" t="s">
        <v>61</v>
      </c>
      <c r="J280" s="12">
        <v>45370</v>
      </c>
      <c r="K280" t="s">
        <v>12</v>
      </c>
    </row>
    <row r="281" spans="1:11" x14ac:dyDescent="0.3">
      <c r="A281">
        <v>345</v>
      </c>
      <c r="B281" t="s">
        <v>65</v>
      </c>
      <c r="C281" t="s">
        <v>11</v>
      </c>
      <c r="D281">
        <v>0.5</v>
      </c>
      <c r="E281">
        <v>18</v>
      </c>
      <c r="F281" t="s">
        <v>62</v>
      </c>
      <c r="G281">
        <v>52.586199000000001</v>
      </c>
      <c r="H281">
        <v>13.152793000000001</v>
      </c>
      <c r="I281" t="s">
        <v>61</v>
      </c>
      <c r="J281" s="12">
        <v>45370</v>
      </c>
      <c r="K281" t="s">
        <v>12</v>
      </c>
    </row>
    <row r="282" spans="1:11" x14ac:dyDescent="0.3">
      <c r="A282">
        <v>346</v>
      </c>
      <c r="B282" t="s">
        <v>65</v>
      </c>
      <c r="C282" t="s">
        <v>11</v>
      </c>
      <c r="D282">
        <v>0.5</v>
      </c>
      <c r="E282">
        <v>18</v>
      </c>
      <c r="F282" t="s">
        <v>59</v>
      </c>
      <c r="G282">
        <v>52.586588999999996</v>
      </c>
      <c r="H282">
        <v>13.146651</v>
      </c>
      <c r="I282" t="s">
        <v>61</v>
      </c>
      <c r="J282" s="12">
        <v>45370</v>
      </c>
      <c r="K282" t="s">
        <v>12</v>
      </c>
    </row>
    <row r="283" spans="1:11" x14ac:dyDescent="0.3">
      <c r="A283">
        <v>347</v>
      </c>
      <c r="B283" t="s">
        <v>65</v>
      </c>
      <c r="C283" t="s">
        <v>11</v>
      </c>
      <c r="D283">
        <v>0.4</v>
      </c>
      <c r="E283">
        <v>13</v>
      </c>
      <c r="F283" t="s">
        <v>62</v>
      </c>
      <c r="G283">
        <v>52.587327000000002</v>
      </c>
      <c r="H283">
        <v>13.149206</v>
      </c>
      <c r="I283" t="s">
        <v>61</v>
      </c>
      <c r="J283" s="12">
        <v>45370</v>
      </c>
      <c r="K283" t="s">
        <v>12</v>
      </c>
    </row>
    <row r="284" spans="1:11" x14ac:dyDescent="0.3">
      <c r="A284">
        <v>348</v>
      </c>
      <c r="B284" t="s">
        <v>65</v>
      </c>
      <c r="C284" t="s">
        <v>11</v>
      </c>
      <c r="D284">
        <v>1</v>
      </c>
      <c r="E284">
        <v>21</v>
      </c>
      <c r="F284" t="s">
        <v>59</v>
      </c>
      <c r="G284">
        <v>52.585937000000001</v>
      </c>
      <c r="H284">
        <v>13.146151</v>
      </c>
      <c r="I284" t="s">
        <v>61</v>
      </c>
      <c r="J284" s="12">
        <v>45370</v>
      </c>
      <c r="K284" t="s">
        <v>12</v>
      </c>
    </row>
    <row r="285" spans="1:11" x14ac:dyDescent="0.3">
      <c r="A285">
        <v>349</v>
      </c>
      <c r="B285" t="s">
        <v>65</v>
      </c>
      <c r="C285" t="s">
        <v>15</v>
      </c>
      <c r="D285">
        <v>1</v>
      </c>
      <c r="E285">
        <v>17</v>
      </c>
      <c r="F285" t="s">
        <v>62</v>
      </c>
      <c r="G285">
        <v>49.937696000000003</v>
      </c>
      <c r="H285">
        <v>14.182707000000001</v>
      </c>
      <c r="I285" t="s">
        <v>61</v>
      </c>
      <c r="J285" s="12">
        <v>45370</v>
      </c>
      <c r="K285" t="s">
        <v>14</v>
      </c>
    </row>
    <row r="286" spans="1:11" x14ac:dyDescent="0.3">
      <c r="A286">
        <v>350</v>
      </c>
      <c r="B286" t="s">
        <v>63</v>
      </c>
      <c r="C286" t="s">
        <v>13</v>
      </c>
      <c r="D286">
        <v>16</v>
      </c>
      <c r="E286">
        <v>65</v>
      </c>
      <c r="F286" t="s">
        <v>59</v>
      </c>
      <c r="G286">
        <v>48.405926000000001</v>
      </c>
      <c r="H286">
        <v>18.839219</v>
      </c>
      <c r="I286" t="s">
        <v>61</v>
      </c>
      <c r="J286" s="12">
        <v>45370</v>
      </c>
      <c r="K286" t="s">
        <v>14</v>
      </c>
    </row>
    <row r="287" spans="1:11" x14ac:dyDescent="0.3">
      <c r="A287">
        <v>351</v>
      </c>
      <c r="B287" t="s">
        <v>64</v>
      </c>
      <c r="C287" t="s">
        <v>13</v>
      </c>
      <c r="D287">
        <v>0.33</v>
      </c>
      <c r="E287">
        <v>18</v>
      </c>
      <c r="F287" t="s">
        <v>10</v>
      </c>
      <c r="G287">
        <v>48.184756999999998</v>
      </c>
      <c r="H287">
        <v>17.082936</v>
      </c>
      <c r="I287" t="s">
        <v>61</v>
      </c>
      <c r="J287" s="12">
        <v>45370</v>
      </c>
      <c r="K287" t="s">
        <v>14</v>
      </c>
    </row>
    <row r="288" spans="1:11" x14ac:dyDescent="0.3">
      <c r="A288">
        <v>352</v>
      </c>
      <c r="B288" t="s">
        <v>64</v>
      </c>
      <c r="C288" t="s">
        <v>13</v>
      </c>
      <c r="D288">
        <v>0.32300000000000001</v>
      </c>
      <c r="E288">
        <v>23</v>
      </c>
      <c r="F288" t="s">
        <v>62</v>
      </c>
      <c r="G288">
        <v>48.186767000000003</v>
      </c>
      <c r="H288">
        <v>17.089935000000001</v>
      </c>
      <c r="I288" t="s">
        <v>61</v>
      </c>
      <c r="J288" s="12">
        <v>45370</v>
      </c>
      <c r="K288" t="s">
        <v>14</v>
      </c>
    </row>
    <row r="289" spans="1:11" x14ac:dyDescent="0.3">
      <c r="A289">
        <v>353</v>
      </c>
      <c r="B289" t="s">
        <v>65</v>
      </c>
      <c r="C289" t="s">
        <v>4</v>
      </c>
      <c r="D289">
        <v>0.4</v>
      </c>
      <c r="E289">
        <v>16</v>
      </c>
      <c r="F289" t="s">
        <v>62</v>
      </c>
      <c r="G289">
        <v>52.214753999999999</v>
      </c>
      <c r="H289">
        <v>21.034364</v>
      </c>
      <c r="I289" t="s">
        <v>61</v>
      </c>
      <c r="J289" s="12">
        <v>45371</v>
      </c>
      <c r="K289" t="s">
        <v>6</v>
      </c>
    </row>
    <row r="290" spans="1:11" x14ac:dyDescent="0.3">
      <c r="A290">
        <v>354</v>
      </c>
      <c r="B290" t="s">
        <v>65</v>
      </c>
      <c r="C290" t="s">
        <v>4</v>
      </c>
      <c r="D290">
        <v>0.7</v>
      </c>
      <c r="E290">
        <v>26</v>
      </c>
      <c r="F290" t="s">
        <v>59</v>
      </c>
      <c r="G290">
        <v>52.215034000000003</v>
      </c>
      <c r="H290">
        <v>21.03303</v>
      </c>
      <c r="I290" t="s">
        <v>61</v>
      </c>
      <c r="J290" s="12">
        <v>45371</v>
      </c>
      <c r="K290" t="s">
        <v>6</v>
      </c>
    </row>
    <row r="291" spans="1:11" x14ac:dyDescent="0.3">
      <c r="A291">
        <v>355</v>
      </c>
      <c r="B291" t="s">
        <v>64</v>
      </c>
      <c r="C291" t="s">
        <v>4</v>
      </c>
      <c r="D291">
        <v>0.35</v>
      </c>
      <c r="E291">
        <v>19</v>
      </c>
      <c r="F291" t="s">
        <v>62</v>
      </c>
      <c r="G291">
        <v>52.241636999999997</v>
      </c>
      <c r="H291">
        <v>21.051539999999999</v>
      </c>
      <c r="I291" t="s">
        <v>61</v>
      </c>
      <c r="J291" s="12">
        <v>45371</v>
      </c>
      <c r="K291" t="s">
        <v>6</v>
      </c>
    </row>
    <row r="292" spans="1:11" x14ac:dyDescent="0.3">
      <c r="A292">
        <v>356</v>
      </c>
      <c r="B292" t="s">
        <v>64</v>
      </c>
      <c r="C292" t="s">
        <v>7</v>
      </c>
      <c r="D292">
        <v>0.28399999999999997</v>
      </c>
      <c r="E292">
        <v>18</v>
      </c>
      <c r="F292" t="s">
        <v>62</v>
      </c>
      <c r="G292">
        <v>47.505786000000001</v>
      </c>
      <c r="H292">
        <v>18.943124000000001</v>
      </c>
      <c r="I292" t="s">
        <v>61</v>
      </c>
      <c r="J292" s="12">
        <v>45371</v>
      </c>
      <c r="K292" t="s">
        <v>6</v>
      </c>
    </row>
    <row r="293" spans="1:11" x14ac:dyDescent="0.3">
      <c r="A293">
        <v>357</v>
      </c>
      <c r="B293" t="s">
        <v>65</v>
      </c>
      <c r="C293" t="s">
        <v>15</v>
      </c>
      <c r="D293">
        <v>0.5</v>
      </c>
      <c r="E293">
        <v>13</v>
      </c>
      <c r="F293" t="s">
        <v>59</v>
      </c>
      <c r="G293">
        <v>49.937455</v>
      </c>
      <c r="H293">
        <v>14.180775000000001</v>
      </c>
      <c r="I293" t="s">
        <v>61</v>
      </c>
      <c r="J293" s="12">
        <v>45371</v>
      </c>
      <c r="K293" t="s">
        <v>14</v>
      </c>
    </row>
    <row r="294" spans="1:11" x14ac:dyDescent="0.3">
      <c r="A294">
        <v>358</v>
      </c>
      <c r="B294" t="s">
        <v>63</v>
      </c>
      <c r="C294" t="s">
        <v>13</v>
      </c>
      <c r="D294">
        <v>17</v>
      </c>
      <c r="E294">
        <v>80</v>
      </c>
      <c r="F294" t="s">
        <v>62</v>
      </c>
      <c r="G294">
        <v>48.407449</v>
      </c>
      <c r="H294">
        <v>18.850762</v>
      </c>
      <c r="I294" t="s">
        <v>61</v>
      </c>
      <c r="J294" s="12">
        <v>45371</v>
      </c>
      <c r="K294" t="s">
        <v>14</v>
      </c>
    </row>
    <row r="295" spans="1:11" x14ac:dyDescent="0.3">
      <c r="A295">
        <v>361</v>
      </c>
      <c r="B295" t="s">
        <v>58</v>
      </c>
      <c r="C295" t="s">
        <v>4</v>
      </c>
      <c r="D295">
        <v>302</v>
      </c>
      <c r="E295">
        <v>150</v>
      </c>
      <c r="F295" t="s">
        <v>62</v>
      </c>
      <c r="G295">
        <v>52.820447000000001</v>
      </c>
      <c r="H295">
        <v>23.813258999999999</v>
      </c>
      <c r="I295" t="s">
        <v>61</v>
      </c>
      <c r="J295" s="12">
        <v>45372</v>
      </c>
      <c r="K295" t="s">
        <v>6</v>
      </c>
    </row>
    <row r="296" spans="1:11" x14ac:dyDescent="0.3">
      <c r="A296">
        <v>362</v>
      </c>
      <c r="B296" t="s">
        <v>65</v>
      </c>
      <c r="C296" t="s">
        <v>7</v>
      </c>
      <c r="D296">
        <v>1.2</v>
      </c>
      <c r="E296">
        <v>29</v>
      </c>
      <c r="F296" t="s">
        <v>59</v>
      </c>
      <c r="G296">
        <v>48.503794999999997</v>
      </c>
      <c r="H296">
        <v>20.555931999999999</v>
      </c>
      <c r="I296" t="s">
        <v>61</v>
      </c>
      <c r="J296" s="12">
        <v>45372</v>
      </c>
      <c r="K296" t="s">
        <v>6</v>
      </c>
    </row>
    <row r="297" spans="1:11" x14ac:dyDescent="0.3">
      <c r="A297">
        <v>363</v>
      </c>
      <c r="B297" t="s">
        <v>65</v>
      </c>
      <c r="C297" t="s">
        <v>4</v>
      </c>
      <c r="D297">
        <v>1.2</v>
      </c>
      <c r="E297">
        <v>25</v>
      </c>
      <c r="F297" t="s">
        <v>59</v>
      </c>
      <c r="G297">
        <v>52.214156000000003</v>
      </c>
      <c r="H297">
        <v>21.032499999999999</v>
      </c>
      <c r="I297" t="s">
        <v>61</v>
      </c>
      <c r="J297" s="12">
        <v>45372</v>
      </c>
      <c r="K297" t="s">
        <v>6</v>
      </c>
    </row>
    <row r="298" spans="1:11" x14ac:dyDescent="0.3">
      <c r="A298">
        <v>364</v>
      </c>
      <c r="B298" t="s">
        <v>63</v>
      </c>
      <c r="C298" t="s">
        <v>4</v>
      </c>
      <c r="D298">
        <v>21.3333333333333</v>
      </c>
      <c r="E298">
        <v>75</v>
      </c>
      <c r="F298" t="s">
        <v>59</v>
      </c>
      <c r="G298">
        <v>52.831229</v>
      </c>
      <c r="H298">
        <v>23.814122999999999</v>
      </c>
      <c r="I298" t="s">
        <v>61</v>
      </c>
      <c r="J298" s="12">
        <v>45372</v>
      </c>
      <c r="K298" t="s">
        <v>6</v>
      </c>
    </row>
    <row r="299" spans="1:11" x14ac:dyDescent="0.3">
      <c r="A299">
        <v>365</v>
      </c>
      <c r="B299" t="s">
        <v>63</v>
      </c>
      <c r="C299" t="s">
        <v>4</v>
      </c>
      <c r="D299">
        <v>18</v>
      </c>
      <c r="E299">
        <v>73</v>
      </c>
      <c r="F299" t="s">
        <v>62</v>
      </c>
      <c r="G299">
        <v>52.832726000000001</v>
      </c>
      <c r="H299">
        <v>23.825032</v>
      </c>
      <c r="I299" t="s">
        <v>61</v>
      </c>
      <c r="J299" s="12">
        <v>45372</v>
      </c>
      <c r="K299" t="s">
        <v>6</v>
      </c>
    </row>
    <row r="300" spans="1:11" x14ac:dyDescent="0.3">
      <c r="A300">
        <v>366</v>
      </c>
      <c r="B300" t="s">
        <v>64</v>
      </c>
      <c r="C300" t="s">
        <v>4</v>
      </c>
      <c r="D300">
        <v>0.33</v>
      </c>
      <c r="E300">
        <v>23</v>
      </c>
      <c r="F300" t="s">
        <v>59</v>
      </c>
      <c r="G300">
        <v>50.041479000000002</v>
      </c>
      <c r="H300">
        <v>19.951211000000001</v>
      </c>
      <c r="I300" t="s">
        <v>61</v>
      </c>
      <c r="J300" s="12">
        <v>45372</v>
      </c>
      <c r="K300" t="s">
        <v>6</v>
      </c>
    </row>
    <row r="301" spans="1:11" x14ac:dyDescent="0.3">
      <c r="A301">
        <v>367</v>
      </c>
      <c r="B301" t="s">
        <v>64</v>
      </c>
      <c r="C301" t="s">
        <v>4</v>
      </c>
      <c r="D301">
        <v>0.297366504854368</v>
      </c>
      <c r="E301">
        <v>20.418848167539199</v>
      </c>
      <c r="F301" t="s">
        <v>59</v>
      </c>
      <c r="G301">
        <v>50.041153999999999</v>
      </c>
      <c r="H301">
        <v>19.949919000000001</v>
      </c>
      <c r="I301" t="s">
        <v>61</v>
      </c>
      <c r="J301" s="12">
        <v>45372</v>
      </c>
      <c r="K301" t="s">
        <v>6</v>
      </c>
    </row>
    <row r="302" spans="1:11" x14ac:dyDescent="0.3">
      <c r="A302">
        <v>368</v>
      </c>
      <c r="B302" t="s">
        <v>64</v>
      </c>
      <c r="C302" t="s">
        <v>7</v>
      </c>
      <c r="D302">
        <v>0.315</v>
      </c>
      <c r="E302">
        <v>19</v>
      </c>
      <c r="F302" t="s">
        <v>59</v>
      </c>
      <c r="G302">
        <v>47.506413999999999</v>
      </c>
      <c r="H302">
        <v>18.941655000000001</v>
      </c>
      <c r="I302" t="s">
        <v>61</v>
      </c>
      <c r="J302" s="12">
        <v>45372</v>
      </c>
      <c r="K302" t="s">
        <v>6</v>
      </c>
    </row>
    <row r="303" spans="1:11" x14ac:dyDescent="0.3">
      <c r="A303">
        <v>369</v>
      </c>
      <c r="B303" t="s">
        <v>65</v>
      </c>
      <c r="C303" t="s">
        <v>17</v>
      </c>
      <c r="D303">
        <v>0.8</v>
      </c>
      <c r="E303">
        <v>24</v>
      </c>
      <c r="F303" t="s">
        <v>59</v>
      </c>
      <c r="G303">
        <v>47.781236</v>
      </c>
      <c r="H303">
        <v>14.382218999999999</v>
      </c>
      <c r="I303" t="s">
        <v>61</v>
      </c>
      <c r="J303" s="12">
        <v>45372</v>
      </c>
      <c r="K303" t="s">
        <v>12</v>
      </c>
    </row>
    <row r="304" spans="1:11" x14ac:dyDescent="0.3">
      <c r="A304">
        <v>370</v>
      </c>
      <c r="B304" t="s">
        <v>65</v>
      </c>
      <c r="C304" t="s">
        <v>17</v>
      </c>
      <c r="D304">
        <v>0.6</v>
      </c>
      <c r="E304">
        <v>14</v>
      </c>
      <c r="F304" t="s">
        <v>62</v>
      </c>
      <c r="G304">
        <v>47.781247999999998</v>
      </c>
      <c r="H304">
        <v>14.382649000000001</v>
      </c>
      <c r="I304" t="s">
        <v>61</v>
      </c>
      <c r="J304" s="12">
        <v>45372</v>
      </c>
      <c r="K304" t="s">
        <v>12</v>
      </c>
    </row>
    <row r="305" spans="1:11" x14ac:dyDescent="0.3">
      <c r="A305">
        <v>371</v>
      </c>
      <c r="B305" t="s">
        <v>65</v>
      </c>
      <c r="C305" t="s">
        <v>11</v>
      </c>
      <c r="D305">
        <v>1.1000000000000001</v>
      </c>
      <c r="E305">
        <v>21</v>
      </c>
      <c r="F305" t="s">
        <v>59</v>
      </c>
      <c r="G305">
        <v>52.585628</v>
      </c>
      <c r="H305">
        <v>13.149093000000001</v>
      </c>
      <c r="I305" t="s">
        <v>61</v>
      </c>
      <c r="J305" s="12">
        <v>45372</v>
      </c>
      <c r="K305" t="s">
        <v>12</v>
      </c>
    </row>
    <row r="306" spans="1:11" x14ac:dyDescent="0.3">
      <c r="A306">
        <v>372</v>
      </c>
      <c r="B306" t="s">
        <v>65</v>
      </c>
      <c r="C306" t="s">
        <v>11</v>
      </c>
      <c r="D306">
        <v>1.1000000000000001</v>
      </c>
      <c r="E306">
        <v>22</v>
      </c>
      <c r="F306" t="s">
        <v>62</v>
      </c>
      <c r="G306">
        <v>52.583289999999998</v>
      </c>
      <c r="H306">
        <v>13.149155</v>
      </c>
      <c r="I306" t="s">
        <v>61</v>
      </c>
      <c r="J306" s="12">
        <v>45372</v>
      </c>
      <c r="K306" t="s">
        <v>12</v>
      </c>
    </row>
    <row r="307" spans="1:11" x14ac:dyDescent="0.3">
      <c r="A307">
        <v>373</v>
      </c>
      <c r="B307" t="s">
        <v>63</v>
      </c>
      <c r="C307" t="s">
        <v>17</v>
      </c>
      <c r="D307">
        <v>20</v>
      </c>
      <c r="E307">
        <v>74</v>
      </c>
      <c r="F307" t="s">
        <v>62</v>
      </c>
      <c r="G307">
        <v>47.781106000000001</v>
      </c>
      <c r="H307">
        <v>14.382184000000001</v>
      </c>
      <c r="I307" t="s">
        <v>61</v>
      </c>
      <c r="J307" s="12">
        <v>45372</v>
      </c>
      <c r="K307" t="s">
        <v>12</v>
      </c>
    </row>
    <row r="308" spans="1:11" x14ac:dyDescent="0.3">
      <c r="A308">
        <v>374</v>
      </c>
      <c r="B308" t="s">
        <v>64</v>
      </c>
      <c r="C308" t="s">
        <v>11</v>
      </c>
      <c r="D308">
        <v>0.32300000000000001</v>
      </c>
      <c r="E308">
        <v>20</v>
      </c>
      <c r="F308" t="s">
        <v>59</v>
      </c>
      <c r="G308">
        <v>52.581896</v>
      </c>
      <c r="H308">
        <v>13.151801000000001</v>
      </c>
      <c r="I308" t="s">
        <v>61</v>
      </c>
      <c r="J308" s="12">
        <v>45372</v>
      </c>
      <c r="K308" t="s">
        <v>12</v>
      </c>
    </row>
    <row r="309" spans="1:11" x14ac:dyDescent="0.3">
      <c r="A309">
        <v>375</v>
      </c>
      <c r="B309" t="s">
        <v>64</v>
      </c>
      <c r="C309" t="s">
        <v>11</v>
      </c>
      <c r="D309">
        <v>0.27600000000000002</v>
      </c>
      <c r="E309">
        <v>21</v>
      </c>
      <c r="F309" t="s">
        <v>62</v>
      </c>
      <c r="G309">
        <v>52.581885</v>
      </c>
      <c r="H309">
        <v>13.152811</v>
      </c>
      <c r="I309" t="s">
        <v>61</v>
      </c>
      <c r="J309" s="12">
        <v>45372</v>
      </c>
      <c r="K309" t="s">
        <v>12</v>
      </c>
    </row>
    <row r="310" spans="1:11" x14ac:dyDescent="0.3">
      <c r="A310">
        <v>376</v>
      </c>
      <c r="B310" t="s">
        <v>64</v>
      </c>
      <c r="C310" t="s">
        <v>11</v>
      </c>
      <c r="D310">
        <v>0.33900000000000002</v>
      </c>
      <c r="E310">
        <v>21</v>
      </c>
      <c r="F310" t="s">
        <v>59</v>
      </c>
      <c r="G310">
        <v>52.587248000000002</v>
      </c>
      <c r="H310">
        <v>13.151498999999999</v>
      </c>
      <c r="I310" t="s">
        <v>61</v>
      </c>
      <c r="J310" s="12">
        <v>45372</v>
      </c>
      <c r="K310" t="s">
        <v>12</v>
      </c>
    </row>
    <row r="311" spans="1:11" x14ac:dyDescent="0.3">
      <c r="A311">
        <v>377</v>
      </c>
      <c r="B311" t="s">
        <v>64</v>
      </c>
      <c r="C311" t="s">
        <v>11</v>
      </c>
      <c r="D311">
        <v>0.34</v>
      </c>
      <c r="E311">
        <v>19</v>
      </c>
      <c r="F311" t="s">
        <v>62</v>
      </c>
      <c r="G311">
        <v>52.582369999999997</v>
      </c>
      <c r="H311">
        <v>13.146855</v>
      </c>
      <c r="I311" t="s">
        <v>61</v>
      </c>
      <c r="J311" s="12">
        <v>45372</v>
      </c>
      <c r="K311" t="s">
        <v>12</v>
      </c>
    </row>
    <row r="312" spans="1:11" x14ac:dyDescent="0.3">
      <c r="A312">
        <v>378</v>
      </c>
      <c r="B312" t="s">
        <v>58</v>
      </c>
      <c r="C312" t="s">
        <v>15</v>
      </c>
      <c r="D312">
        <v>750</v>
      </c>
      <c r="E312">
        <v>242</v>
      </c>
      <c r="F312" t="s">
        <v>59</v>
      </c>
      <c r="G312">
        <v>50.638137</v>
      </c>
      <c r="H312">
        <v>14.838129</v>
      </c>
      <c r="I312" t="s">
        <v>61</v>
      </c>
      <c r="J312" s="12">
        <v>45372</v>
      </c>
      <c r="K312" t="s">
        <v>14</v>
      </c>
    </row>
    <row r="313" spans="1:11" x14ac:dyDescent="0.3">
      <c r="A313">
        <v>379</v>
      </c>
      <c r="B313" t="s">
        <v>58</v>
      </c>
      <c r="C313" t="s">
        <v>15</v>
      </c>
      <c r="D313">
        <v>35</v>
      </c>
      <c r="E313">
        <v>110</v>
      </c>
      <c r="F313" t="s">
        <v>59</v>
      </c>
      <c r="G313">
        <v>50.640732999999997</v>
      </c>
      <c r="H313">
        <v>14.84516</v>
      </c>
      <c r="I313" t="s">
        <v>61</v>
      </c>
      <c r="J313" s="12">
        <v>45372</v>
      </c>
      <c r="K313" t="s">
        <v>14</v>
      </c>
    </row>
    <row r="314" spans="1:11" x14ac:dyDescent="0.3">
      <c r="A314">
        <v>380</v>
      </c>
      <c r="B314" t="s">
        <v>58</v>
      </c>
      <c r="C314" t="s">
        <v>15</v>
      </c>
      <c r="D314">
        <v>360</v>
      </c>
      <c r="E314">
        <v>175</v>
      </c>
      <c r="F314" t="s">
        <v>62</v>
      </c>
      <c r="G314">
        <v>50.636642000000002</v>
      </c>
      <c r="H314">
        <v>14.847946</v>
      </c>
      <c r="I314" t="s">
        <v>61</v>
      </c>
      <c r="J314" s="12">
        <v>45372</v>
      </c>
      <c r="K314" t="s">
        <v>14</v>
      </c>
    </row>
    <row r="315" spans="1:11" x14ac:dyDescent="0.3">
      <c r="A315">
        <v>381</v>
      </c>
      <c r="B315" t="s">
        <v>65</v>
      </c>
      <c r="C315" t="s">
        <v>15</v>
      </c>
      <c r="D315">
        <v>1.1000000000000001</v>
      </c>
      <c r="E315">
        <v>18</v>
      </c>
      <c r="F315" t="s">
        <v>62</v>
      </c>
      <c r="G315">
        <v>49.939473999999997</v>
      </c>
      <c r="H315">
        <v>14.180897</v>
      </c>
      <c r="I315" t="s">
        <v>61</v>
      </c>
      <c r="J315" s="12">
        <v>45372</v>
      </c>
      <c r="K315" t="s">
        <v>14</v>
      </c>
    </row>
    <row r="316" spans="1:11" x14ac:dyDescent="0.3">
      <c r="A316">
        <v>382</v>
      </c>
      <c r="B316" t="s">
        <v>64</v>
      </c>
      <c r="C316" t="s">
        <v>15</v>
      </c>
      <c r="D316">
        <v>0.33500000000000002</v>
      </c>
      <c r="E316">
        <v>20</v>
      </c>
      <c r="F316" t="s">
        <v>59</v>
      </c>
      <c r="G316">
        <v>49.938958</v>
      </c>
      <c r="H316">
        <v>14.181258</v>
      </c>
      <c r="I316" t="s">
        <v>61</v>
      </c>
      <c r="J316" s="12">
        <v>45372</v>
      </c>
      <c r="K316" t="s">
        <v>14</v>
      </c>
    </row>
    <row r="317" spans="1:11" x14ac:dyDescent="0.3">
      <c r="A317">
        <v>383</v>
      </c>
      <c r="B317" t="s">
        <v>64</v>
      </c>
      <c r="C317" t="s">
        <v>13</v>
      </c>
      <c r="D317">
        <v>0.27300000000000002</v>
      </c>
      <c r="E317">
        <v>23</v>
      </c>
      <c r="F317" t="s">
        <v>59</v>
      </c>
      <c r="G317">
        <v>48.185898000000002</v>
      </c>
      <c r="H317">
        <v>17.090682999999999</v>
      </c>
      <c r="I317" t="s">
        <v>61</v>
      </c>
      <c r="J317" s="12">
        <v>45372</v>
      </c>
      <c r="K317" t="s">
        <v>14</v>
      </c>
    </row>
    <row r="318" spans="1:11" x14ac:dyDescent="0.3">
      <c r="A318">
        <v>384</v>
      </c>
      <c r="B318" t="s">
        <v>64</v>
      </c>
      <c r="C318" t="s">
        <v>13</v>
      </c>
      <c r="D318">
        <v>0.33</v>
      </c>
      <c r="E318">
        <v>19</v>
      </c>
      <c r="F318" t="s">
        <v>59</v>
      </c>
      <c r="G318">
        <v>48.186672000000002</v>
      </c>
      <c r="H318">
        <v>17.091508000000001</v>
      </c>
      <c r="I318" t="s">
        <v>61</v>
      </c>
      <c r="J318" s="12">
        <v>45372</v>
      </c>
      <c r="K318" t="s">
        <v>14</v>
      </c>
    </row>
    <row r="319" spans="1:11" x14ac:dyDescent="0.3">
      <c r="A319">
        <v>385</v>
      </c>
      <c r="B319" t="s">
        <v>64</v>
      </c>
      <c r="C319" t="s">
        <v>13</v>
      </c>
      <c r="D319">
        <v>0.32900000000000001</v>
      </c>
      <c r="E319">
        <v>19</v>
      </c>
      <c r="F319" t="s">
        <v>62</v>
      </c>
      <c r="G319">
        <v>48.18685</v>
      </c>
      <c r="H319">
        <v>17.091228000000001</v>
      </c>
      <c r="I319" t="s">
        <v>61</v>
      </c>
      <c r="J319" s="12">
        <v>45372</v>
      </c>
      <c r="K319" t="s">
        <v>14</v>
      </c>
    </row>
    <row r="320" spans="1:11" x14ac:dyDescent="0.3">
      <c r="A320">
        <v>389</v>
      </c>
      <c r="B320" t="s">
        <v>58</v>
      </c>
      <c r="C320" t="s">
        <v>4</v>
      </c>
      <c r="D320">
        <v>1000</v>
      </c>
      <c r="E320">
        <v>320</v>
      </c>
      <c r="F320" t="s">
        <v>59</v>
      </c>
      <c r="G320">
        <v>52.825470000000003</v>
      </c>
      <c r="H320">
        <v>23.81307</v>
      </c>
      <c r="I320" t="s">
        <v>18</v>
      </c>
      <c r="J320" s="12">
        <v>45373</v>
      </c>
      <c r="K320" t="s">
        <v>6</v>
      </c>
    </row>
    <row r="321" spans="1:11" x14ac:dyDescent="0.3">
      <c r="A321">
        <v>390</v>
      </c>
      <c r="B321" t="s">
        <v>65</v>
      </c>
      <c r="C321" t="s">
        <v>7</v>
      </c>
      <c r="D321">
        <v>1.1000000000000001</v>
      </c>
      <c r="E321">
        <v>18</v>
      </c>
      <c r="F321" t="s">
        <v>59</v>
      </c>
      <c r="G321">
        <v>48.503062</v>
      </c>
      <c r="H321">
        <v>20.551697999999998</v>
      </c>
      <c r="I321" t="s">
        <v>61</v>
      </c>
      <c r="J321" s="12">
        <v>45373</v>
      </c>
      <c r="K321" t="s">
        <v>6</v>
      </c>
    </row>
    <row r="322" spans="1:11" x14ac:dyDescent="0.3">
      <c r="A322">
        <v>391</v>
      </c>
      <c r="B322" t="s">
        <v>64</v>
      </c>
      <c r="C322" t="s">
        <v>11</v>
      </c>
      <c r="D322">
        <v>0.30599999999999999</v>
      </c>
      <c r="E322">
        <v>23</v>
      </c>
      <c r="F322" t="s">
        <v>59</v>
      </c>
      <c r="G322">
        <v>52.584352000000003</v>
      </c>
      <c r="H322">
        <v>13.148089000000001</v>
      </c>
      <c r="I322" t="s">
        <v>61</v>
      </c>
      <c r="J322" s="12">
        <v>45373</v>
      </c>
      <c r="K322" t="s">
        <v>12</v>
      </c>
    </row>
    <row r="323" spans="1:11" x14ac:dyDescent="0.3">
      <c r="A323">
        <v>392</v>
      </c>
      <c r="B323" t="s">
        <v>64</v>
      </c>
      <c r="C323" t="s">
        <v>11</v>
      </c>
      <c r="D323">
        <v>0.33400000000000002</v>
      </c>
      <c r="E323">
        <v>19</v>
      </c>
      <c r="F323" t="s">
        <v>59</v>
      </c>
      <c r="G323">
        <v>52.587862999999999</v>
      </c>
      <c r="H323">
        <v>13.147785000000001</v>
      </c>
      <c r="I323" t="s">
        <v>61</v>
      </c>
      <c r="J323" s="12">
        <v>45373</v>
      </c>
      <c r="K323" t="s">
        <v>12</v>
      </c>
    </row>
    <row r="324" spans="1:11" x14ac:dyDescent="0.3">
      <c r="A324">
        <v>393</v>
      </c>
      <c r="B324" t="s">
        <v>64</v>
      </c>
      <c r="C324" t="s">
        <v>11</v>
      </c>
      <c r="D324">
        <v>0.33400000000000002</v>
      </c>
      <c r="E324">
        <v>21</v>
      </c>
      <c r="F324" t="s">
        <v>59</v>
      </c>
      <c r="G324">
        <v>52.587733999999998</v>
      </c>
      <c r="H324">
        <v>13.151377999999999</v>
      </c>
      <c r="I324" t="s">
        <v>61</v>
      </c>
      <c r="J324" s="12">
        <v>45373</v>
      </c>
      <c r="K324" t="s">
        <v>12</v>
      </c>
    </row>
    <row r="325" spans="1:11" x14ac:dyDescent="0.3">
      <c r="A325">
        <v>394</v>
      </c>
      <c r="B325" t="s">
        <v>64</v>
      </c>
      <c r="C325" t="s">
        <v>11</v>
      </c>
      <c r="D325">
        <v>0.32900000000000001</v>
      </c>
      <c r="E325">
        <v>19</v>
      </c>
      <c r="F325" t="s">
        <v>62</v>
      </c>
      <c r="G325">
        <v>52.582754000000001</v>
      </c>
      <c r="H325">
        <v>13.145364000000001</v>
      </c>
      <c r="I325" t="s">
        <v>61</v>
      </c>
      <c r="J325" s="12">
        <v>45373</v>
      </c>
      <c r="K325" t="s">
        <v>12</v>
      </c>
    </row>
    <row r="326" spans="1:11" x14ac:dyDescent="0.3">
      <c r="A326">
        <v>395</v>
      </c>
      <c r="B326" t="s">
        <v>64</v>
      </c>
      <c r="C326" t="s">
        <v>11</v>
      </c>
      <c r="D326">
        <v>0.317</v>
      </c>
      <c r="E326">
        <v>22</v>
      </c>
      <c r="F326" t="s">
        <v>59</v>
      </c>
      <c r="G326">
        <v>52.585517000000003</v>
      </c>
      <c r="H326">
        <v>13.150878000000001</v>
      </c>
      <c r="I326" t="s">
        <v>61</v>
      </c>
      <c r="J326" s="12">
        <v>45373</v>
      </c>
      <c r="K326" t="s">
        <v>12</v>
      </c>
    </row>
    <row r="327" spans="1:11" x14ac:dyDescent="0.3">
      <c r="A327">
        <v>396</v>
      </c>
      <c r="B327" t="s">
        <v>64</v>
      </c>
      <c r="C327" t="s">
        <v>11</v>
      </c>
      <c r="D327">
        <v>0.26700000000000002</v>
      </c>
      <c r="E327">
        <v>21</v>
      </c>
      <c r="F327" t="s">
        <v>62</v>
      </c>
      <c r="G327">
        <v>52.588833999999999</v>
      </c>
      <c r="H327">
        <v>13.15192</v>
      </c>
      <c r="I327" t="s">
        <v>61</v>
      </c>
      <c r="J327" s="12">
        <v>45373</v>
      </c>
      <c r="K327" t="s">
        <v>12</v>
      </c>
    </row>
    <row r="328" spans="1:11" x14ac:dyDescent="0.3">
      <c r="A328">
        <v>397</v>
      </c>
      <c r="B328" t="s">
        <v>58</v>
      </c>
      <c r="C328" t="s">
        <v>15</v>
      </c>
      <c r="D328">
        <v>603</v>
      </c>
      <c r="E328">
        <v>291</v>
      </c>
      <c r="F328" t="s">
        <v>59</v>
      </c>
      <c r="G328">
        <v>50.644812999999999</v>
      </c>
      <c r="H328">
        <v>14.839817</v>
      </c>
      <c r="I328" t="s">
        <v>61</v>
      </c>
      <c r="J328" s="12">
        <v>45373</v>
      </c>
      <c r="K328" t="s">
        <v>14</v>
      </c>
    </row>
    <row r="329" spans="1:11" x14ac:dyDescent="0.3">
      <c r="A329">
        <v>398</v>
      </c>
      <c r="B329" t="s">
        <v>58</v>
      </c>
      <c r="C329" t="s">
        <v>15</v>
      </c>
      <c r="D329">
        <v>717</v>
      </c>
      <c r="E329">
        <v>305</v>
      </c>
      <c r="F329" t="s">
        <v>59</v>
      </c>
      <c r="G329">
        <v>50.635565</v>
      </c>
      <c r="H329">
        <v>14.839320000000001</v>
      </c>
      <c r="I329" t="s">
        <v>61</v>
      </c>
      <c r="J329" s="12">
        <v>45373</v>
      </c>
      <c r="K329" t="s">
        <v>14</v>
      </c>
    </row>
    <row r="330" spans="1:11" x14ac:dyDescent="0.3">
      <c r="A330">
        <v>399</v>
      </c>
      <c r="B330" t="s">
        <v>58</v>
      </c>
      <c r="C330" t="s">
        <v>15</v>
      </c>
      <c r="D330">
        <v>390</v>
      </c>
      <c r="E330">
        <v>145</v>
      </c>
      <c r="F330" t="s">
        <v>62</v>
      </c>
      <c r="G330">
        <v>50.639856000000002</v>
      </c>
      <c r="H330">
        <v>14.847626</v>
      </c>
      <c r="I330" t="s">
        <v>61</v>
      </c>
      <c r="J330" s="12">
        <v>45373</v>
      </c>
      <c r="K330" t="s">
        <v>14</v>
      </c>
    </row>
    <row r="331" spans="1:11" x14ac:dyDescent="0.3">
      <c r="A331">
        <v>400</v>
      </c>
      <c r="B331" t="s">
        <v>65</v>
      </c>
      <c r="C331" t="s">
        <v>15</v>
      </c>
      <c r="D331">
        <v>0.6</v>
      </c>
      <c r="E331">
        <v>21</v>
      </c>
      <c r="F331" t="s">
        <v>62</v>
      </c>
      <c r="G331">
        <v>49.939062</v>
      </c>
      <c r="H331">
        <v>14.178750000000001</v>
      </c>
      <c r="I331" t="s">
        <v>61</v>
      </c>
      <c r="J331" s="12">
        <v>45373</v>
      </c>
      <c r="K331" t="s">
        <v>14</v>
      </c>
    </row>
    <row r="332" spans="1:11" x14ac:dyDescent="0.3">
      <c r="A332">
        <v>401</v>
      </c>
      <c r="B332" t="s">
        <v>65</v>
      </c>
      <c r="C332" t="s">
        <v>15</v>
      </c>
      <c r="D332">
        <v>1.1000000000000001</v>
      </c>
      <c r="E332">
        <v>21</v>
      </c>
      <c r="F332" t="s">
        <v>59</v>
      </c>
      <c r="G332">
        <v>49.939165000000003</v>
      </c>
      <c r="H332">
        <v>14.182528</v>
      </c>
      <c r="I332" t="s">
        <v>61</v>
      </c>
      <c r="J332" s="12">
        <v>45373</v>
      </c>
      <c r="K332" t="s">
        <v>14</v>
      </c>
    </row>
    <row r="333" spans="1:11" x14ac:dyDescent="0.3">
      <c r="A333">
        <v>402</v>
      </c>
      <c r="B333" t="s">
        <v>65</v>
      </c>
      <c r="C333" t="s">
        <v>15</v>
      </c>
      <c r="D333">
        <v>0.7</v>
      </c>
      <c r="E333">
        <v>18</v>
      </c>
      <c r="F333" t="s">
        <v>62</v>
      </c>
      <c r="G333">
        <v>49.937562</v>
      </c>
      <c r="H333">
        <v>14.181101</v>
      </c>
      <c r="I333" t="s">
        <v>61</v>
      </c>
      <c r="J333" s="12">
        <v>45373</v>
      </c>
      <c r="K333" t="s">
        <v>14</v>
      </c>
    </row>
    <row r="334" spans="1:11" x14ac:dyDescent="0.3">
      <c r="A334">
        <v>403</v>
      </c>
      <c r="B334" t="s">
        <v>65</v>
      </c>
      <c r="C334" t="s">
        <v>15</v>
      </c>
      <c r="D334">
        <v>1.2</v>
      </c>
      <c r="E334">
        <v>23</v>
      </c>
      <c r="F334" t="s">
        <v>59</v>
      </c>
      <c r="G334">
        <v>49.939200999999997</v>
      </c>
      <c r="H334">
        <v>14.178922999999999</v>
      </c>
      <c r="I334" t="s">
        <v>61</v>
      </c>
      <c r="J334" s="12">
        <v>45373</v>
      </c>
      <c r="K334" t="s">
        <v>14</v>
      </c>
    </row>
    <row r="335" spans="1:11" x14ac:dyDescent="0.3">
      <c r="A335">
        <v>404</v>
      </c>
      <c r="B335" t="s">
        <v>63</v>
      </c>
      <c r="C335" t="s">
        <v>13</v>
      </c>
      <c r="D335">
        <v>25</v>
      </c>
      <c r="E335">
        <v>96</v>
      </c>
      <c r="F335" t="s">
        <v>62</v>
      </c>
      <c r="G335">
        <v>48.410693000000002</v>
      </c>
      <c r="H335">
        <v>18.832844999999999</v>
      </c>
      <c r="I335" t="s">
        <v>61</v>
      </c>
      <c r="J335" s="12">
        <v>45373</v>
      </c>
      <c r="K335" t="s">
        <v>14</v>
      </c>
    </row>
    <row r="336" spans="1:11" x14ac:dyDescent="0.3">
      <c r="A336">
        <v>405</v>
      </c>
      <c r="B336" t="s">
        <v>58</v>
      </c>
      <c r="C336" t="s">
        <v>4</v>
      </c>
      <c r="D336">
        <v>660</v>
      </c>
      <c r="E336">
        <v>246</v>
      </c>
      <c r="F336" t="s">
        <v>62</v>
      </c>
      <c r="G336">
        <v>52.824078999999998</v>
      </c>
      <c r="H336">
        <v>23.81279</v>
      </c>
      <c r="I336" t="s">
        <v>61</v>
      </c>
      <c r="J336" s="12">
        <v>45374</v>
      </c>
      <c r="K336" t="s">
        <v>6</v>
      </c>
    </row>
    <row r="337" spans="1:11" x14ac:dyDescent="0.3">
      <c r="A337">
        <v>406</v>
      </c>
      <c r="B337" t="s">
        <v>58</v>
      </c>
      <c r="C337" t="s">
        <v>4</v>
      </c>
      <c r="D337">
        <v>619</v>
      </c>
      <c r="E337">
        <v>248</v>
      </c>
      <c r="F337" t="s">
        <v>62</v>
      </c>
      <c r="G337">
        <v>52.826081000000002</v>
      </c>
      <c r="H337">
        <v>23.815823000000002</v>
      </c>
      <c r="I337" t="s">
        <v>61</v>
      </c>
      <c r="J337" s="12">
        <v>45374</v>
      </c>
      <c r="K337" t="s">
        <v>6</v>
      </c>
    </row>
    <row r="338" spans="1:11" x14ac:dyDescent="0.3">
      <c r="A338">
        <v>407</v>
      </c>
      <c r="B338" t="s">
        <v>65</v>
      </c>
      <c r="C338" t="s">
        <v>7</v>
      </c>
      <c r="D338">
        <v>0.6</v>
      </c>
      <c r="E338">
        <v>19</v>
      </c>
      <c r="F338" t="s">
        <v>62</v>
      </c>
      <c r="G338">
        <v>48.503498</v>
      </c>
      <c r="H338">
        <v>20.539662</v>
      </c>
      <c r="I338" t="s">
        <v>61</v>
      </c>
      <c r="J338" s="12">
        <v>45374</v>
      </c>
      <c r="K338" t="s">
        <v>6</v>
      </c>
    </row>
    <row r="339" spans="1:11" x14ac:dyDescent="0.3">
      <c r="A339">
        <v>408</v>
      </c>
      <c r="B339" t="s">
        <v>65</v>
      </c>
      <c r="C339" t="s">
        <v>7</v>
      </c>
      <c r="D339">
        <v>0.8</v>
      </c>
      <c r="E339">
        <v>25</v>
      </c>
      <c r="F339" t="s">
        <v>59</v>
      </c>
      <c r="G339">
        <v>48.509298000000001</v>
      </c>
      <c r="H339">
        <v>20.551977000000001</v>
      </c>
      <c r="I339" t="s">
        <v>61</v>
      </c>
      <c r="J339" s="12">
        <v>45374</v>
      </c>
      <c r="K339" t="s">
        <v>6</v>
      </c>
    </row>
    <row r="340" spans="1:11" x14ac:dyDescent="0.3">
      <c r="A340">
        <v>409</v>
      </c>
      <c r="B340" t="s">
        <v>65</v>
      </c>
      <c r="C340" t="s">
        <v>7</v>
      </c>
      <c r="D340">
        <v>0.4</v>
      </c>
      <c r="E340">
        <v>15</v>
      </c>
      <c r="F340" t="s">
        <v>62</v>
      </c>
      <c r="G340">
        <v>48.506205999999999</v>
      </c>
      <c r="H340">
        <v>20.565308000000002</v>
      </c>
      <c r="I340" t="s">
        <v>61</v>
      </c>
      <c r="J340" s="12">
        <v>45374</v>
      </c>
      <c r="K340" t="s">
        <v>6</v>
      </c>
    </row>
    <row r="341" spans="1:11" x14ac:dyDescent="0.3">
      <c r="A341">
        <v>410</v>
      </c>
      <c r="B341" t="s">
        <v>65</v>
      </c>
      <c r="C341" t="s">
        <v>7</v>
      </c>
      <c r="D341">
        <v>1.1000000000000001</v>
      </c>
      <c r="E341">
        <v>22</v>
      </c>
      <c r="F341" t="s">
        <v>59</v>
      </c>
      <c r="G341">
        <v>48.505090000000003</v>
      </c>
      <c r="H341">
        <v>20.539448</v>
      </c>
      <c r="I341" t="s">
        <v>61</v>
      </c>
      <c r="J341" s="12">
        <v>45374</v>
      </c>
      <c r="K341" t="s">
        <v>6</v>
      </c>
    </row>
    <row r="342" spans="1:11" x14ac:dyDescent="0.3">
      <c r="A342">
        <v>411</v>
      </c>
      <c r="B342" t="s">
        <v>65</v>
      </c>
      <c r="C342" t="s">
        <v>4</v>
      </c>
      <c r="D342">
        <v>0.8</v>
      </c>
      <c r="E342">
        <v>20</v>
      </c>
      <c r="F342" t="s">
        <v>62</v>
      </c>
      <c r="G342">
        <v>52.215038999999997</v>
      </c>
      <c r="H342">
        <v>21.032591</v>
      </c>
      <c r="I342" t="s">
        <v>61</v>
      </c>
      <c r="J342" s="12">
        <v>45374</v>
      </c>
      <c r="K342" t="s">
        <v>6</v>
      </c>
    </row>
    <row r="343" spans="1:11" x14ac:dyDescent="0.3">
      <c r="A343">
        <v>412</v>
      </c>
      <c r="B343" t="s">
        <v>65</v>
      </c>
      <c r="C343" t="s">
        <v>4</v>
      </c>
      <c r="D343">
        <v>0.5</v>
      </c>
      <c r="E343">
        <v>19</v>
      </c>
      <c r="F343" t="s">
        <v>62</v>
      </c>
      <c r="G343">
        <v>52.215085000000002</v>
      </c>
      <c r="H343">
        <v>21.034198</v>
      </c>
      <c r="I343" t="s">
        <v>61</v>
      </c>
      <c r="J343" s="12">
        <v>45374</v>
      </c>
      <c r="K343" t="s">
        <v>6</v>
      </c>
    </row>
    <row r="344" spans="1:11" x14ac:dyDescent="0.3">
      <c r="A344">
        <v>413</v>
      </c>
      <c r="B344" t="s">
        <v>64</v>
      </c>
      <c r="C344" t="s">
        <v>4</v>
      </c>
      <c r="D344">
        <v>0.34799999999999998</v>
      </c>
      <c r="E344">
        <v>20</v>
      </c>
      <c r="F344" t="s">
        <v>62</v>
      </c>
      <c r="G344">
        <v>50.04186</v>
      </c>
      <c r="H344">
        <v>19.950192000000001</v>
      </c>
      <c r="I344" t="s">
        <v>61</v>
      </c>
      <c r="J344" s="12">
        <v>45374</v>
      </c>
      <c r="K344" t="s">
        <v>6</v>
      </c>
    </row>
    <row r="345" spans="1:11" x14ac:dyDescent="0.3">
      <c r="A345">
        <v>414</v>
      </c>
      <c r="B345" t="s">
        <v>64</v>
      </c>
      <c r="C345" t="s">
        <v>7</v>
      </c>
      <c r="D345">
        <v>0.30099999999999999</v>
      </c>
      <c r="E345">
        <v>18</v>
      </c>
      <c r="F345" t="s">
        <v>59</v>
      </c>
      <c r="G345">
        <v>47.510260000000002</v>
      </c>
      <c r="H345">
        <v>18.947838000000001</v>
      </c>
      <c r="I345" t="s">
        <v>61</v>
      </c>
      <c r="J345" s="12">
        <v>45374</v>
      </c>
      <c r="K345" t="s">
        <v>6</v>
      </c>
    </row>
    <row r="346" spans="1:11" x14ac:dyDescent="0.3">
      <c r="A346">
        <v>415</v>
      </c>
      <c r="B346" t="s">
        <v>65</v>
      </c>
      <c r="C346" t="s">
        <v>15</v>
      </c>
      <c r="D346">
        <v>0.7</v>
      </c>
      <c r="E346">
        <v>20</v>
      </c>
      <c r="F346" t="s">
        <v>62</v>
      </c>
      <c r="G346">
        <v>49.937454000000002</v>
      </c>
      <c r="H346">
        <v>14.182121</v>
      </c>
      <c r="I346" t="s">
        <v>61</v>
      </c>
      <c r="J346" s="12">
        <v>45374</v>
      </c>
      <c r="K346" t="s">
        <v>14</v>
      </c>
    </row>
    <row r="347" spans="1:11" x14ac:dyDescent="0.3">
      <c r="A347">
        <v>416</v>
      </c>
      <c r="B347" t="s">
        <v>65</v>
      </c>
      <c r="C347" t="s">
        <v>15</v>
      </c>
      <c r="D347">
        <v>1</v>
      </c>
      <c r="E347">
        <v>21</v>
      </c>
      <c r="F347" t="s">
        <v>62</v>
      </c>
      <c r="G347">
        <v>49.937787999999998</v>
      </c>
      <c r="H347">
        <v>14.180368</v>
      </c>
      <c r="I347" t="s">
        <v>61</v>
      </c>
      <c r="J347" s="12">
        <v>45374</v>
      </c>
      <c r="K347" t="s">
        <v>14</v>
      </c>
    </row>
    <row r="348" spans="1:11" x14ac:dyDescent="0.3">
      <c r="A348">
        <v>419</v>
      </c>
      <c r="B348" t="s">
        <v>64</v>
      </c>
      <c r="C348" t="s">
        <v>4</v>
      </c>
      <c r="D348">
        <v>0.28599999999999998</v>
      </c>
      <c r="E348">
        <v>20</v>
      </c>
      <c r="F348" t="s">
        <v>62</v>
      </c>
      <c r="G348">
        <v>50.041130000000003</v>
      </c>
      <c r="H348">
        <v>19.949698000000001</v>
      </c>
      <c r="I348" t="s">
        <v>61</v>
      </c>
      <c r="J348" s="12">
        <v>45375</v>
      </c>
      <c r="K348" t="s">
        <v>6</v>
      </c>
    </row>
    <row r="349" spans="1:11" x14ac:dyDescent="0.3">
      <c r="A349">
        <v>420</v>
      </c>
      <c r="B349" t="s">
        <v>64</v>
      </c>
      <c r="C349" t="s">
        <v>4</v>
      </c>
      <c r="D349">
        <v>0.28199999999999997</v>
      </c>
      <c r="E349">
        <v>21</v>
      </c>
      <c r="F349" t="s">
        <v>62</v>
      </c>
      <c r="G349">
        <v>50.041522000000001</v>
      </c>
      <c r="H349">
        <v>19.950562999999999</v>
      </c>
      <c r="I349" t="s">
        <v>19</v>
      </c>
      <c r="J349" s="12">
        <v>45375</v>
      </c>
      <c r="K349" t="s">
        <v>6</v>
      </c>
    </row>
    <row r="350" spans="1:11" x14ac:dyDescent="0.3">
      <c r="A350">
        <v>421</v>
      </c>
      <c r="B350" t="s">
        <v>65</v>
      </c>
      <c r="C350" t="s">
        <v>17</v>
      </c>
      <c r="D350">
        <v>0.8</v>
      </c>
      <c r="E350">
        <v>18</v>
      </c>
      <c r="F350" t="s">
        <v>59</v>
      </c>
      <c r="G350">
        <v>47.781882000000003</v>
      </c>
      <c r="H350">
        <v>14.384802000000001</v>
      </c>
      <c r="I350" t="s">
        <v>61</v>
      </c>
      <c r="J350" s="12">
        <v>45375</v>
      </c>
      <c r="K350" t="s">
        <v>12</v>
      </c>
    </row>
    <row r="351" spans="1:11" x14ac:dyDescent="0.3">
      <c r="A351">
        <v>422</v>
      </c>
      <c r="B351" t="s">
        <v>65</v>
      </c>
      <c r="C351" t="s">
        <v>17</v>
      </c>
      <c r="D351">
        <v>0.6</v>
      </c>
      <c r="E351">
        <v>19</v>
      </c>
      <c r="F351" t="s">
        <v>59</v>
      </c>
      <c r="G351">
        <v>47.781019000000001</v>
      </c>
      <c r="H351">
        <v>14.385089000000001</v>
      </c>
      <c r="I351" t="s">
        <v>61</v>
      </c>
      <c r="J351" s="12">
        <v>45375</v>
      </c>
      <c r="K351" t="s">
        <v>12</v>
      </c>
    </row>
    <row r="352" spans="1:11" x14ac:dyDescent="0.3">
      <c r="A352">
        <v>423</v>
      </c>
      <c r="B352" t="s">
        <v>65</v>
      </c>
      <c r="C352" t="s">
        <v>17</v>
      </c>
      <c r="D352">
        <v>0.5</v>
      </c>
      <c r="E352">
        <v>20</v>
      </c>
      <c r="F352" t="s">
        <v>59</v>
      </c>
      <c r="G352">
        <v>47.319781999999996</v>
      </c>
      <c r="H352">
        <v>11.190835999999999</v>
      </c>
      <c r="I352" t="s">
        <v>61</v>
      </c>
      <c r="J352" s="12">
        <v>45375</v>
      </c>
      <c r="K352" t="s">
        <v>12</v>
      </c>
    </row>
    <row r="353" spans="1:11" x14ac:dyDescent="0.3">
      <c r="A353">
        <v>424</v>
      </c>
      <c r="B353" t="s">
        <v>65</v>
      </c>
      <c r="C353" t="s">
        <v>17</v>
      </c>
      <c r="D353">
        <v>0.6</v>
      </c>
      <c r="E353">
        <v>16</v>
      </c>
      <c r="F353" t="s">
        <v>62</v>
      </c>
      <c r="G353">
        <v>47.32002</v>
      </c>
      <c r="H353">
        <v>11.18557</v>
      </c>
      <c r="I353" t="s">
        <v>61</v>
      </c>
      <c r="J353" s="12">
        <v>45375</v>
      </c>
      <c r="K353" t="s">
        <v>12</v>
      </c>
    </row>
    <row r="354" spans="1:11" x14ac:dyDescent="0.3">
      <c r="A354">
        <v>425</v>
      </c>
      <c r="B354" t="s">
        <v>65</v>
      </c>
      <c r="C354" t="s">
        <v>17</v>
      </c>
      <c r="D354">
        <v>0.6</v>
      </c>
      <c r="E354">
        <v>20</v>
      </c>
      <c r="F354" t="s">
        <v>59</v>
      </c>
      <c r="G354">
        <v>47.318792999999999</v>
      </c>
      <c r="H354">
        <v>11.185855</v>
      </c>
      <c r="I354" t="s">
        <v>61</v>
      </c>
      <c r="J354" s="12">
        <v>45375</v>
      </c>
      <c r="K354" t="s">
        <v>12</v>
      </c>
    </row>
    <row r="355" spans="1:11" x14ac:dyDescent="0.3">
      <c r="A355">
        <v>426</v>
      </c>
      <c r="B355" t="s">
        <v>65</v>
      </c>
      <c r="C355" t="s">
        <v>17</v>
      </c>
      <c r="D355">
        <v>1.1000000000000001</v>
      </c>
      <c r="E355">
        <v>23</v>
      </c>
      <c r="F355" t="s">
        <v>62</v>
      </c>
      <c r="G355">
        <v>47.316963000000001</v>
      </c>
      <c r="H355">
        <v>11.188761</v>
      </c>
      <c r="I355" t="s">
        <v>61</v>
      </c>
      <c r="J355" s="12">
        <v>45375</v>
      </c>
      <c r="K355" t="s">
        <v>12</v>
      </c>
    </row>
    <row r="356" spans="1:11" x14ac:dyDescent="0.3">
      <c r="A356">
        <v>427</v>
      </c>
      <c r="B356" t="s">
        <v>65</v>
      </c>
      <c r="C356" t="s">
        <v>11</v>
      </c>
      <c r="D356">
        <v>0.8</v>
      </c>
      <c r="E356">
        <v>16</v>
      </c>
      <c r="F356" t="s">
        <v>59</v>
      </c>
      <c r="G356">
        <v>52.582071999999997</v>
      </c>
      <c r="H356">
        <v>13.149184999999999</v>
      </c>
      <c r="I356" t="s">
        <v>61</v>
      </c>
      <c r="J356" s="12">
        <v>45375</v>
      </c>
      <c r="K356" t="s">
        <v>12</v>
      </c>
    </row>
    <row r="357" spans="1:11" x14ac:dyDescent="0.3">
      <c r="A357">
        <v>428</v>
      </c>
      <c r="B357" t="s">
        <v>65</v>
      </c>
      <c r="C357" t="s">
        <v>11</v>
      </c>
      <c r="D357">
        <v>1.2</v>
      </c>
      <c r="E357">
        <v>23</v>
      </c>
      <c r="F357" t="s">
        <v>59</v>
      </c>
      <c r="G357">
        <v>52.585720000000002</v>
      </c>
      <c r="H357">
        <v>13.148612999999999</v>
      </c>
      <c r="I357" t="s">
        <v>61</v>
      </c>
      <c r="J357" s="12">
        <v>45375</v>
      </c>
      <c r="K357" t="s">
        <v>12</v>
      </c>
    </row>
    <row r="358" spans="1:11" x14ac:dyDescent="0.3">
      <c r="A358">
        <v>429</v>
      </c>
      <c r="B358" t="s">
        <v>65</v>
      </c>
      <c r="C358" t="s">
        <v>11</v>
      </c>
      <c r="D358">
        <v>0.7</v>
      </c>
      <c r="E358">
        <v>19</v>
      </c>
      <c r="F358" t="s">
        <v>62</v>
      </c>
      <c r="G358">
        <v>52.587826999999997</v>
      </c>
      <c r="H358">
        <v>13.148164</v>
      </c>
      <c r="I358" t="s">
        <v>61</v>
      </c>
      <c r="J358" s="12">
        <v>45375</v>
      </c>
      <c r="K358" t="s">
        <v>12</v>
      </c>
    </row>
    <row r="359" spans="1:11" x14ac:dyDescent="0.3">
      <c r="A359">
        <v>430</v>
      </c>
      <c r="B359" t="s">
        <v>65</v>
      </c>
      <c r="C359" t="s">
        <v>11</v>
      </c>
      <c r="D359">
        <v>0.9</v>
      </c>
      <c r="E359">
        <v>18.410447761194</v>
      </c>
      <c r="F359" t="s">
        <v>62</v>
      </c>
      <c r="G359">
        <v>52.583004000000003</v>
      </c>
      <c r="H359">
        <v>13.150686</v>
      </c>
      <c r="I359" t="s">
        <v>61</v>
      </c>
      <c r="J359" s="12">
        <v>45375</v>
      </c>
      <c r="K359" t="s">
        <v>12</v>
      </c>
    </row>
    <row r="360" spans="1:11" x14ac:dyDescent="0.3">
      <c r="A360">
        <v>431</v>
      </c>
      <c r="B360" t="s">
        <v>65</v>
      </c>
      <c r="C360" t="s">
        <v>11</v>
      </c>
      <c r="D360">
        <v>1.2</v>
      </c>
      <c r="E360">
        <v>22</v>
      </c>
      <c r="F360" t="s">
        <v>59</v>
      </c>
      <c r="G360">
        <v>52.587057999999999</v>
      </c>
      <c r="H360">
        <v>13.149675</v>
      </c>
      <c r="I360" t="s">
        <v>61</v>
      </c>
      <c r="J360" s="12">
        <v>45375</v>
      </c>
      <c r="K360" t="s">
        <v>12</v>
      </c>
    </row>
    <row r="361" spans="1:11" x14ac:dyDescent="0.3">
      <c r="A361">
        <v>432</v>
      </c>
      <c r="B361" t="s">
        <v>65</v>
      </c>
      <c r="C361" t="s">
        <v>11</v>
      </c>
      <c r="D361">
        <v>0.7</v>
      </c>
      <c r="E361">
        <v>16</v>
      </c>
      <c r="F361" t="s">
        <v>62</v>
      </c>
      <c r="G361">
        <v>52.587539</v>
      </c>
      <c r="H361">
        <v>13.146575</v>
      </c>
      <c r="I361" t="s">
        <v>61</v>
      </c>
      <c r="J361" s="12">
        <v>45375</v>
      </c>
      <c r="K361" t="s">
        <v>12</v>
      </c>
    </row>
    <row r="362" spans="1:11" x14ac:dyDescent="0.3">
      <c r="A362">
        <v>433</v>
      </c>
      <c r="B362" t="s">
        <v>65</v>
      </c>
      <c r="C362" t="s">
        <v>11</v>
      </c>
      <c r="D362">
        <v>0.6</v>
      </c>
      <c r="E362">
        <v>25</v>
      </c>
      <c r="F362" t="s">
        <v>59</v>
      </c>
      <c r="G362">
        <v>52.587183000000003</v>
      </c>
      <c r="H362">
        <v>13.146661</v>
      </c>
      <c r="I362" t="s">
        <v>61</v>
      </c>
      <c r="J362" s="12">
        <v>45375</v>
      </c>
      <c r="K362" t="s">
        <v>12</v>
      </c>
    </row>
    <row r="363" spans="1:11" x14ac:dyDescent="0.3">
      <c r="A363">
        <v>434</v>
      </c>
      <c r="B363" t="s">
        <v>65</v>
      </c>
      <c r="C363" t="s">
        <v>11</v>
      </c>
      <c r="D363">
        <v>1</v>
      </c>
      <c r="E363">
        <v>24</v>
      </c>
      <c r="F363" t="s">
        <v>59</v>
      </c>
      <c r="G363">
        <v>52.586486999999998</v>
      </c>
      <c r="H363">
        <v>13.150015</v>
      </c>
      <c r="I363" t="s">
        <v>61</v>
      </c>
      <c r="J363" s="12">
        <v>45375</v>
      </c>
      <c r="K363" t="s">
        <v>12</v>
      </c>
    </row>
    <row r="364" spans="1:11" x14ac:dyDescent="0.3">
      <c r="A364">
        <v>435</v>
      </c>
      <c r="B364" t="s">
        <v>64</v>
      </c>
      <c r="C364" t="s">
        <v>11</v>
      </c>
      <c r="D364">
        <v>0.313</v>
      </c>
      <c r="E364">
        <v>23</v>
      </c>
      <c r="F364" t="s">
        <v>62</v>
      </c>
      <c r="G364">
        <v>52.588779000000002</v>
      </c>
      <c r="H364">
        <v>13.147948</v>
      </c>
      <c r="I364" t="s">
        <v>61</v>
      </c>
      <c r="J364" s="12">
        <v>45375</v>
      </c>
      <c r="K364" t="s">
        <v>12</v>
      </c>
    </row>
    <row r="365" spans="1:11" x14ac:dyDescent="0.3">
      <c r="A365">
        <v>436</v>
      </c>
      <c r="B365" t="s">
        <v>64</v>
      </c>
      <c r="C365" t="s">
        <v>11</v>
      </c>
      <c r="D365">
        <v>0.26800000000000002</v>
      </c>
      <c r="E365">
        <v>21</v>
      </c>
      <c r="F365" t="s">
        <v>59</v>
      </c>
      <c r="G365">
        <v>52.587088999999999</v>
      </c>
      <c r="H365">
        <v>13.151807</v>
      </c>
      <c r="I365" t="s">
        <v>61</v>
      </c>
      <c r="J365" s="12">
        <v>45375</v>
      </c>
      <c r="K365" t="s">
        <v>12</v>
      </c>
    </row>
    <row r="366" spans="1:11" x14ac:dyDescent="0.3">
      <c r="A366">
        <v>437</v>
      </c>
      <c r="B366" t="s">
        <v>64</v>
      </c>
      <c r="C366" t="s">
        <v>17</v>
      </c>
      <c r="D366">
        <v>0.32300000000000001</v>
      </c>
      <c r="E366">
        <v>21</v>
      </c>
      <c r="F366" t="s">
        <v>59</v>
      </c>
      <c r="G366">
        <v>47.781846999999999</v>
      </c>
      <c r="H366">
        <v>14.386835</v>
      </c>
      <c r="I366" t="s">
        <v>61</v>
      </c>
      <c r="J366" s="12">
        <v>45375</v>
      </c>
      <c r="K366" t="s">
        <v>12</v>
      </c>
    </row>
    <row r="367" spans="1:11" x14ac:dyDescent="0.3">
      <c r="A367">
        <v>438</v>
      </c>
      <c r="B367" t="s">
        <v>64</v>
      </c>
      <c r="C367" t="s">
        <v>17</v>
      </c>
      <c r="D367">
        <v>0.27200000000000002</v>
      </c>
      <c r="E367">
        <v>20</v>
      </c>
      <c r="F367" t="s">
        <v>62</v>
      </c>
      <c r="G367">
        <v>47.781295999999998</v>
      </c>
      <c r="H367">
        <v>14.383799</v>
      </c>
      <c r="I367" t="s">
        <v>61</v>
      </c>
      <c r="J367" s="12">
        <v>45375</v>
      </c>
      <c r="K367" t="s">
        <v>12</v>
      </c>
    </row>
    <row r="368" spans="1:11" x14ac:dyDescent="0.3">
      <c r="A368">
        <v>439</v>
      </c>
      <c r="B368" t="s">
        <v>64</v>
      </c>
      <c r="C368" t="s">
        <v>17</v>
      </c>
      <c r="D368">
        <v>0.34</v>
      </c>
      <c r="E368">
        <v>20</v>
      </c>
      <c r="F368" t="s">
        <v>59</v>
      </c>
      <c r="G368">
        <v>47.781537999999998</v>
      </c>
      <c r="H368">
        <v>14.384561</v>
      </c>
      <c r="I368" t="s">
        <v>61</v>
      </c>
      <c r="J368" s="12">
        <v>45375</v>
      </c>
      <c r="K368" t="s">
        <v>12</v>
      </c>
    </row>
    <row r="369" spans="1:11" x14ac:dyDescent="0.3">
      <c r="A369">
        <v>440</v>
      </c>
      <c r="B369" t="s">
        <v>64</v>
      </c>
      <c r="C369" t="s">
        <v>17</v>
      </c>
      <c r="D369">
        <v>0.33200000000000002</v>
      </c>
      <c r="E369">
        <v>18</v>
      </c>
      <c r="F369" t="s">
        <v>62</v>
      </c>
      <c r="G369">
        <v>47.781345000000002</v>
      </c>
      <c r="H369">
        <v>14.382936000000001</v>
      </c>
      <c r="I369" t="s">
        <v>61</v>
      </c>
      <c r="J369" s="12">
        <v>45375</v>
      </c>
      <c r="K369" t="s">
        <v>12</v>
      </c>
    </row>
    <row r="370" spans="1:11" x14ac:dyDescent="0.3">
      <c r="A370">
        <v>441</v>
      </c>
      <c r="B370" t="s">
        <v>64</v>
      </c>
      <c r="C370" t="s">
        <v>11</v>
      </c>
      <c r="D370">
        <v>0.28599999999999998</v>
      </c>
      <c r="E370">
        <v>19</v>
      </c>
      <c r="F370" t="s">
        <v>62</v>
      </c>
      <c r="G370">
        <v>52.582658000000002</v>
      </c>
      <c r="H370">
        <v>13.148057</v>
      </c>
      <c r="I370" t="s">
        <v>61</v>
      </c>
      <c r="J370" s="12">
        <v>45375</v>
      </c>
      <c r="K370" t="s">
        <v>12</v>
      </c>
    </row>
    <row r="371" spans="1:11" x14ac:dyDescent="0.3">
      <c r="A371">
        <v>442</v>
      </c>
      <c r="B371" t="s">
        <v>65</v>
      </c>
      <c r="C371" t="s">
        <v>15</v>
      </c>
      <c r="D371">
        <v>0.8</v>
      </c>
      <c r="E371">
        <v>18</v>
      </c>
      <c r="F371" t="s">
        <v>59</v>
      </c>
      <c r="G371">
        <v>49.938687999999999</v>
      </c>
      <c r="H371">
        <v>14.179603</v>
      </c>
      <c r="I371" t="s">
        <v>61</v>
      </c>
      <c r="J371" s="12">
        <v>45375</v>
      </c>
      <c r="K371" t="s">
        <v>14</v>
      </c>
    </row>
    <row r="372" spans="1:11" x14ac:dyDescent="0.3">
      <c r="A372">
        <v>443</v>
      </c>
      <c r="B372" t="s">
        <v>64</v>
      </c>
      <c r="C372" t="s">
        <v>15</v>
      </c>
      <c r="D372">
        <v>0.33600000000000002</v>
      </c>
      <c r="E372">
        <v>22</v>
      </c>
      <c r="F372" t="s">
        <v>62</v>
      </c>
      <c r="G372">
        <v>49.939211999999998</v>
      </c>
      <c r="H372">
        <v>14.180839000000001</v>
      </c>
      <c r="I372" t="s">
        <v>61</v>
      </c>
      <c r="J372" s="12">
        <v>45375</v>
      </c>
      <c r="K372" t="s">
        <v>14</v>
      </c>
    </row>
    <row r="373" spans="1:11" x14ac:dyDescent="0.3">
      <c r="A373">
        <v>444</v>
      </c>
      <c r="B373" t="s">
        <v>64</v>
      </c>
      <c r="C373" t="s">
        <v>13</v>
      </c>
      <c r="D373">
        <v>0.2</v>
      </c>
      <c r="E373">
        <v>14</v>
      </c>
      <c r="F373" t="s">
        <v>62</v>
      </c>
      <c r="G373">
        <v>48.186610999999999</v>
      </c>
      <c r="H373">
        <v>17.090271000000001</v>
      </c>
      <c r="I373" t="s">
        <v>61</v>
      </c>
      <c r="J373" s="12">
        <v>45375</v>
      </c>
      <c r="K373" t="s">
        <v>14</v>
      </c>
    </row>
    <row r="374" spans="1:11" x14ac:dyDescent="0.3">
      <c r="A374">
        <v>447</v>
      </c>
      <c r="B374" t="s">
        <v>65</v>
      </c>
      <c r="C374" t="s">
        <v>4</v>
      </c>
      <c r="D374">
        <v>0.9</v>
      </c>
      <c r="E374">
        <v>22</v>
      </c>
      <c r="F374" t="s">
        <v>62</v>
      </c>
      <c r="G374">
        <v>52.214494000000002</v>
      </c>
      <c r="H374">
        <v>21.033154</v>
      </c>
      <c r="I374" t="s">
        <v>61</v>
      </c>
      <c r="J374" s="12">
        <v>45376</v>
      </c>
      <c r="K374" t="s">
        <v>6</v>
      </c>
    </row>
    <row r="375" spans="1:11" x14ac:dyDescent="0.3">
      <c r="A375">
        <v>448</v>
      </c>
      <c r="B375" t="s">
        <v>65</v>
      </c>
      <c r="C375" t="s">
        <v>4</v>
      </c>
      <c r="D375">
        <v>1</v>
      </c>
      <c r="E375">
        <v>21</v>
      </c>
      <c r="F375" t="s">
        <v>59</v>
      </c>
      <c r="G375">
        <v>52.214418999999999</v>
      </c>
      <c r="H375">
        <v>21.033441</v>
      </c>
      <c r="I375" t="s">
        <v>61</v>
      </c>
      <c r="J375" s="12">
        <v>45376</v>
      </c>
      <c r="K375" t="s">
        <v>6</v>
      </c>
    </row>
    <row r="376" spans="1:11" x14ac:dyDescent="0.3">
      <c r="A376">
        <v>449</v>
      </c>
      <c r="B376" t="s">
        <v>65</v>
      </c>
      <c r="C376" t="s">
        <v>15</v>
      </c>
      <c r="D376">
        <v>0.4</v>
      </c>
      <c r="E376">
        <v>12</v>
      </c>
      <c r="F376" t="s">
        <v>62</v>
      </c>
      <c r="G376">
        <v>49.937893000000003</v>
      </c>
      <c r="H376">
        <v>14.18083</v>
      </c>
      <c r="I376" t="s">
        <v>61</v>
      </c>
      <c r="J376" s="12">
        <v>45376</v>
      </c>
      <c r="K376" t="s">
        <v>14</v>
      </c>
    </row>
    <row r="377" spans="1:11" x14ac:dyDescent="0.3">
      <c r="A377">
        <v>450</v>
      </c>
      <c r="B377" t="s">
        <v>64</v>
      </c>
      <c r="C377" t="s">
        <v>15</v>
      </c>
      <c r="D377">
        <v>0.33600000000000002</v>
      </c>
      <c r="E377">
        <v>23</v>
      </c>
      <c r="F377" t="s">
        <v>59</v>
      </c>
      <c r="G377">
        <v>49.939261999999999</v>
      </c>
      <c r="H377">
        <v>14.179613</v>
      </c>
      <c r="I377" t="s">
        <v>61</v>
      </c>
      <c r="J377" s="12">
        <v>45376</v>
      </c>
      <c r="K377" t="s">
        <v>14</v>
      </c>
    </row>
    <row r="378" spans="1:11" x14ac:dyDescent="0.3">
      <c r="A378">
        <v>451</v>
      </c>
      <c r="B378" t="s">
        <v>64</v>
      </c>
      <c r="C378" t="s">
        <v>13</v>
      </c>
      <c r="D378">
        <v>0.254</v>
      </c>
      <c r="E378">
        <v>18</v>
      </c>
      <c r="F378" t="s">
        <v>59</v>
      </c>
      <c r="G378">
        <v>48.239854000000001</v>
      </c>
      <c r="H378">
        <v>17.086693</v>
      </c>
      <c r="I378" t="s">
        <v>61</v>
      </c>
      <c r="J378" s="12">
        <v>45376</v>
      </c>
      <c r="K378" t="s">
        <v>14</v>
      </c>
    </row>
    <row r="379" spans="1:11" x14ac:dyDescent="0.3">
      <c r="A379">
        <v>452</v>
      </c>
      <c r="B379" t="s">
        <v>64</v>
      </c>
      <c r="C379" t="s">
        <v>13</v>
      </c>
      <c r="D379">
        <v>0.29399999999999998</v>
      </c>
      <c r="E379">
        <v>23</v>
      </c>
      <c r="F379" t="s">
        <v>59</v>
      </c>
      <c r="G379">
        <v>48.226680000000002</v>
      </c>
      <c r="H379">
        <v>17.081529</v>
      </c>
      <c r="I379" t="s">
        <v>61</v>
      </c>
      <c r="J379" s="12">
        <v>45376</v>
      </c>
      <c r="K379" t="s">
        <v>14</v>
      </c>
    </row>
    <row r="380" spans="1:11" x14ac:dyDescent="0.3">
      <c r="A380">
        <v>453</v>
      </c>
      <c r="B380" t="s">
        <v>64</v>
      </c>
      <c r="C380" t="s">
        <v>13</v>
      </c>
      <c r="D380">
        <v>0.26500000000000001</v>
      </c>
      <c r="E380">
        <v>22</v>
      </c>
      <c r="F380" t="s">
        <v>62</v>
      </c>
      <c r="G380">
        <v>48.238619999999997</v>
      </c>
      <c r="H380">
        <v>17.074393000000001</v>
      </c>
      <c r="I380" t="s">
        <v>61</v>
      </c>
      <c r="J380" s="12">
        <v>45376</v>
      </c>
      <c r="K380" t="s">
        <v>14</v>
      </c>
    </row>
    <row r="381" spans="1:11" x14ac:dyDescent="0.3">
      <c r="A381">
        <v>454</v>
      </c>
      <c r="B381" t="s">
        <v>58</v>
      </c>
      <c r="C381" t="s">
        <v>4</v>
      </c>
      <c r="D381">
        <v>823</v>
      </c>
      <c r="E381">
        <v>305</v>
      </c>
      <c r="F381" t="s">
        <v>59</v>
      </c>
      <c r="G381">
        <v>52.824289999999998</v>
      </c>
      <c r="H381">
        <v>23.813465000000001</v>
      </c>
      <c r="I381" t="s">
        <v>61</v>
      </c>
      <c r="J381" s="12">
        <v>45377</v>
      </c>
      <c r="K381" t="s">
        <v>6</v>
      </c>
    </row>
    <row r="382" spans="1:11" x14ac:dyDescent="0.3">
      <c r="A382">
        <v>455</v>
      </c>
      <c r="B382" t="s">
        <v>58</v>
      </c>
      <c r="C382" t="s">
        <v>4</v>
      </c>
      <c r="D382">
        <v>594</v>
      </c>
      <c r="E382">
        <v>243</v>
      </c>
      <c r="F382" t="s">
        <v>59</v>
      </c>
      <c r="G382">
        <v>52.825553999999997</v>
      </c>
      <c r="H382">
        <v>23.812594000000001</v>
      </c>
      <c r="I382" t="s">
        <v>61</v>
      </c>
      <c r="J382" s="12">
        <v>45377</v>
      </c>
      <c r="K382" t="s">
        <v>6</v>
      </c>
    </row>
    <row r="383" spans="1:11" x14ac:dyDescent="0.3">
      <c r="A383">
        <v>456</v>
      </c>
      <c r="B383" t="s">
        <v>64</v>
      </c>
      <c r="C383" t="s">
        <v>4</v>
      </c>
      <c r="D383">
        <v>0.31</v>
      </c>
      <c r="E383">
        <v>24</v>
      </c>
      <c r="F383" t="s">
        <v>59</v>
      </c>
      <c r="G383">
        <v>50.041235</v>
      </c>
      <c r="H383">
        <v>19.951284000000001</v>
      </c>
      <c r="I383" t="s">
        <v>61</v>
      </c>
      <c r="J383" s="12">
        <v>45377</v>
      </c>
      <c r="K383" t="s">
        <v>6</v>
      </c>
    </row>
    <row r="384" spans="1:11" x14ac:dyDescent="0.3">
      <c r="A384">
        <v>457</v>
      </c>
      <c r="B384" t="s">
        <v>64</v>
      </c>
      <c r="C384" t="s">
        <v>7</v>
      </c>
      <c r="D384">
        <v>0.297366504854368</v>
      </c>
      <c r="E384">
        <v>20</v>
      </c>
      <c r="F384" t="s">
        <v>62</v>
      </c>
      <c r="G384">
        <v>47.508617999999998</v>
      </c>
      <c r="H384">
        <v>18.944915000000002</v>
      </c>
      <c r="I384" t="s">
        <v>61</v>
      </c>
      <c r="J384" s="12">
        <v>45377</v>
      </c>
      <c r="K384" t="s">
        <v>6</v>
      </c>
    </row>
    <row r="385" spans="1:11" x14ac:dyDescent="0.3">
      <c r="A385">
        <v>458</v>
      </c>
      <c r="B385" t="s">
        <v>65</v>
      </c>
      <c r="C385" t="s">
        <v>15</v>
      </c>
      <c r="D385">
        <v>0.7</v>
      </c>
      <c r="E385">
        <v>16</v>
      </c>
      <c r="F385" t="s">
        <v>59</v>
      </c>
      <c r="G385">
        <v>49.939149999999998</v>
      </c>
      <c r="H385">
        <v>14.179387999999999</v>
      </c>
      <c r="I385" t="s">
        <v>61</v>
      </c>
      <c r="J385" s="12">
        <v>45377</v>
      </c>
      <c r="K385" t="s">
        <v>14</v>
      </c>
    </row>
    <row r="386" spans="1:11" x14ac:dyDescent="0.3">
      <c r="A386">
        <v>459</v>
      </c>
      <c r="B386" t="s">
        <v>65</v>
      </c>
      <c r="C386" t="s">
        <v>15</v>
      </c>
      <c r="D386">
        <v>0.6</v>
      </c>
      <c r="E386">
        <v>17</v>
      </c>
      <c r="F386" t="s">
        <v>62</v>
      </c>
      <c r="G386">
        <v>49.938346000000003</v>
      </c>
      <c r="H386">
        <v>14.18024</v>
      </c>
      <c r="I386" t="s">
        <v>61</v>
      </c>
      <c r="J386" s="12">
        <v>45377</v>
      </c>
      <c r="K386" t="s">
        <v>14</v>
      </c>
    </row>
    <row r="387" spans="1:11" x14ac:dyDescent="0.3">
      <c r="A387">
        <v>462</v>
      </c>
      <c r="B387" t="s">
        <v>65</v>
      </c>
      <c r="C387" t="s">
        <v>4</v>
      </c>
      <c r="D387">
        <v>1.1000000000000001</v>
      </c>
      <c r="E387">
        <v>20</v>
      </c>
      <c r="F387" t="s">
        <v>62</v>
      </c>
      <c r="G387">
        <v>52.214765999999997</v>
      </c>
      <c r="H387">
        <v>21.030532000000001</v>
      </c>
      <c r="I387" t="s">
        <v>61</v>
      </c>
      <c r="J387" s="12">
        <v>45378</v>
      </c>
      <c r="K387" t="s">
        <v>6</v>
      </c>
    </row>
    <row r="388" spans="1:11" x14ac:dyDescent="0.3">
      <c r="A388">
        <v>463</v>
      </c>
      <c r="B388" t="s">
        <v>64</v>
      </c>
      <c r="C388" t="s">
        <v>4</v>
      </c>
      <c r="D388">
        <v>0.33600000000000002</v>
      </c>
      <c r="E388">
        <v>19</v>
      </c>
      <c r="F388" t="s">
        <v>59</v>
      </c>
      <c r="G388">
        <v>50.041488999999999</v>
      </c>
      <c r="H388">
        <v>19.950768</v>
      </c>
      <c r="I388" t="s">
        <v>9</v>
      </c>
      <c r="J388" s="12">
        <v>45378</v>
      </c>
      <c r="K388" t="s">
        <v>6</v>
      </c>
    </row>
    <row r="389" spans="1:11" x14ac:dyDescent="0.3">
      <c r="A389">
        <v>464</v>
      </c>
      <c r="B389" t="s">
        <v>65</v>
      </c>
      <c r="C389" t="s">
        <v>11</v>
      </c>
      <c r="D389">
        <v>0.7</v>
      </c>
      <c r="E389">
        <v>23</v>
      </c>
      <c r="F389" t="s">
        <v>62</v>
      </c>
      <c r="G389">
        <v>52.587532000000003</v>
      </c>
      <c r="H389">
        <v>13.152361000000001</v>
      </c>
      <c r="I389" t="s">
        <v>61</v>
      </c>
      <c r="J389" s="12">
        <v>45378</v>
      </c>
      <c r="K389" t="s">
        <v>12</v>
      </c>
    </row>
    <row r="390" spans="1:11" x14ac:dyDescent="0.3">
      <c r="A390">
        <v>465</v>
      </c>
      <c r="B390" t="s">
        <v>65</v>
      </c>
      <c r="C390" t="s">
        <v>11</v>
      </c>
      <c r="D390">
        <v>0.7</v>
      </c>
      <c r="E390">
        <v>17</v>
      </c>
      <c r="F390" t="s">
        <v>59</v>
      </c>
      <c r="G390">
        <v>48.161583999999998</v>
      </c>
      <c r="H390">
        <v>11.494937999999999</v>
      </c>
      <c r="I390" t="s">
        <v>61</v>
      </c>
      <c r="J390" s="12">
        <v>45378</v>
      </c>
      <c r="K390" t="s">
        <v>12</v>
      </c>
    </row>
    <row r="391" spans="1:11" x14ac:dyDescent="0.3">
      <c r="A391">
        <v>466</v>
      </c>
      <c r="B391" t="s">
        <v>65</v>
      </c>
      <c r="C391" t="s">
        <v>11</v>
      </c>
      <c r="D391">
        <v>0.9</v>
      </c>
      <c r="E391">
        <v>18</v>
      </c>
      <c r="F391" t="s">
        <v>62</v>
      </c>
      <c r="G391">
        <v>48.160459000000003</v>
      </c>
      <c r="H391">
        <v>11.493142000000001</v>
      </c>
      <c r="I391" t="s">
        <v>61</v>
      </c>
      <c r="J391" s="12">
        <v>45378</v>
      </c>
      <c r="K391" t="s">
        <v>12</v>
      </c>
    </row>
    <row r="392" spans="1:11" x14ac:dyDescent="0.3">
      <c r="A392">
        <v>467</v>
      </c>
      <c r="B392" t="s">
        <v>65</v>
      </c>
      <c r="C392" t="s">
        <v>11</v>
      </c>
      <c r="D392">
        <v>0.5</v>
      </c>
      <c r="E392">
        <v>20</v>
      </c>
      <c r="F392" t="s">
        <v>59</v>
      </c>
      <c r="G392">
        <v>48.160834000000001</v>
      </c>
      <c r="H392">
        <v>11.489874</v>
      </c>
      <c r="I392" t="s">
        <v>61</v>
      </c>
      <c r="J392" s="12">
        <v>45378</v>
      </c>
      <c r="K392" t="s">
        <v>12</v>
      </c>
    </row>
    <row r="393" spans="1:11" x14ac:dyDescent="0.3">
      <c r="A393">
        <v>468</v>
      </c>
      <c r="B393" t="s">
        <v>65</v>
      </c>
      <c r="C393" t="s">
        <v>15</v>
      </c>
      <c r="D393">
        <v>0.5</v>
      </c>
      <c r="E393">
        <v>16</v>
      </c>
      <c r="F393" t="s">
        <v>59</v>
      </c>
      <c r="G393">
        <v>49.938845000000001</v>
      </c>
      <c r="H393">
        <v>14.182245999999999</v>
      </c>
      <c r="I393" t="s">
        <v>61</v>
      </c>
      <c r="J393" s="12">
        <v>45378</v>
      </c>
      <c r="K393" t="s">
        <v>14</v>
      </c>
    </row>
    <row r="394" spans="1:11" x14ac:dyDescent="0.3">
      <c r="A394">
        <v>469</v>
      </c>
      <c r="B394" t="s">
        <v>65</v>
      </c>
      <c r="C394" t="s">
        <v>15</v>
      </c>
      <c r="D394">
        <v>0.8</v>
      </c>
      <c r="E394">
        <v>17</v>
      </c>
      <c r="F394" t="s">
        <v>62</v>
      </c>
      <c r="G394">
        <v>49.938958999999997</v>
      </c>
      <c r="H394">
        <v>14.180078</v>
      </c>
      <c r="I394" t="s">
        <v>61</v>
      </c>
      <c r="J394" s="12">
        <v>45378</v>
      </c>
      <c r="K394" t="s">
        <v>14</v>
      </c>
    </row>
    <row r="395" spans="1:11" x14ac:dyDescent="0.3">
      <c r="A395">
        <v>470</v>
      </c>
      <c r="B395" t="s">
        <v>64</v>
      </c>
      <c r="C395" t="s">
        <v>15</v>
      </c>
      <c r="D395">
        <v>0.27700000000000002</v>
      </c>
      <c r="E395">
        <v>22</v>
      </c>
      <c r="F395" t="s">
        <v>59</v>
      </c>
      <c r="G395">
        <v>49.939096999999997</v>
      </c>
      <c r="H395">
        <v>14.179435</v>
      </c>
      <c r="I395" t="s">
        <v>61</v>
      </c>
      <c r="J395" s="12">
        <v>45378</v>
      </c>
      <c r="K395" t="s">
        <v>14</v>
      </c>
    </row>
    <row r="396" spans="1:11" x14ac:dyDescent="0.3">
      <c r="A396">
        <v>471</v>
      </c>
      <c r="B396" t="s">
        <v>64</v>
      </c>
      <c r="C396" t="s">
        <v>13</v>
      </c>
      <c r="D396">
        <v>0.32100000000000001</v>
      </c>
      <c r="E396">
        <v>18</v>
      </c>
      <c r="F396" t="s">
        <v>62</v>
      </c>
      <c r="G396">
        <v>48.226708000000002</v>
      </c>
      <c r="H396">
        <v>17.087852999999999</v>
      </c>
      <c r="I396" t="s">
        <v>61</v>
      </c>
      <c r="J396" s="12">
        <v>45378</v>
      </c>
      <c r="K396" t="s">
        <v>14</v>
      </c>
    </row>
    <row r="397" spans="1:11" x14ac:dyDescent="0.3">
      <c r="A397">
        <v>472</v>
      </c>
      <c r="B397" t="s">
        <v>64</v>
      </c>
      <c r="C397" t="s">
        <v>15</v>
      </c>
      <c r="D397">
        <v>0.27100000000000002</v>
      </c>
      <c r="E397">
        <v>19</v>
      </c>
      <c r="F397" t="s">
        <v>62</v>
      </c>
      <c r="G397">
        <v>49.938523000000004</v>
      </c>
      <c r="H397">
        <v>14.18244</v>
      </c>
      <c r="I397" t="s">
        <v>61</v>
      </c>
      <c r="J397" s="12">
        <v>45378</v>
      </c>
      <c r="K397" t="s">
        <v>14</v>
      </c>
    </row>
    <row r="398" spans="1:11" x14ac:dyDescent="0.3">
      <c r="A398">
        <v>474</v>
      </c>
      <c r="B398" t="s">
        <v>58</v>
      </c>
      <c r="C398" t="s">
        <v>4</v>
      </c>
      <c r="D398">
        <v>510</v>
      </c>
      <c r="E398">
        <v>222</v>
      </c>
      <c r="F398" t="s">
        <v>62</v>
      </c>
      <c r="G398">
        <v>52.807537000000004</v>
      </c>
      <c r="H398">
        <v>23.700908999999999</v>
      </c>
      <c r="I398" t="s">
        <v>61</v>
      </c>
      <c r="J398" s="12">
        <v>45379</v>
      </c>
      <c r="K398" t="s">
        <v>6</v>
      </c>
    </row>
    <row r="399" spans="1:11" x14ac:dyDescent="0.3">
      <c r="A399">
        <v>475</v>
      </c>
      <c r="B399" t="s">
        <v>64</v>
      </c>
      <c r="C399" t="s">
        <v>4</v>
      </c>
      <c r="D399">
        <v>0.32800000000000001</v>
      </c>
      <c r="E399">
        <v>23</v>
      </c>
      <c r="F399" t="s">
        <v>62</v>
      </c>
      <c r="G399">
        <v>50.041504000000003</v>
      </c>
      <c r="H399">
        <v>19.950218</v>
      </c>
      <c r="I399" t="s">
        <v>61</v>
      </c>
      <c r="J399" s="12">
        <v>45379</v>
      </c>
      <c r="K399" t="s">
        <v>6</v>
      </c>
    </row>
    <row r="400" spans="1:11" x14ac:dyDescent="0.3">
      <c r="A400">
        <v>476</v>
      </c>
      <c r="B400" t="s">
        <v>64</v>
      </c>
      <c r="C400" t="s">
        <v>4</v>
      </c>
      <c r="D400">
        <v>0.27800000000000002</v>
      </c>
      <c r="E400">
        <v>23</v>
      </c>
      <c r="F400" t="s">
        <v>62</v>
      </c>
      <c r="G400">
        <v>50.041119000000002</v>
      </c>
      <c r="H400">
        <v>19.949729999999999</v>
      </c>
      <c r="I400" t="s">
        <v>61</v>
      </c>
      <c r="J400" s="12">
        <v>45379</v>
      </c>
      <c r="K400" t="s">
        <v>6</v>
      </c>
    </row>
    <row r="401" spans="1:11" x14ac:dyDescent="0.3">
      <c r="A401">
        <v>477</v>
      </c>
      <c r="B401" t="s">
        <v>65</v>
      </c>
      <c r="C401" t="s">
        <v>15</v>
      </c>
      <c r="D401">
        <v>0.6</v>
      </c>
      <c r="E401">
        <v>18</v>
      </c>
      <c r="F401" t="s">
        <v>62</v>
      </c>
      <c r="G401">
        <v>49.937804999999997</v>
      </c>
      <c r="H401">
        <v>14.179716000000001</v>
      </c>
      <c r="I401" t="s">
        <v>61</v>
      </c>
      <c r="J401" s="12">
        <v>45379</v>
      </c>
      <c r="K401" t="s">
        <v>14</v>
      </c>
    </row>
    <row r="402" spans="1:11" x14ac:dyDescent="0.3">
      <c r="A402">
        <v>478</v>
      </c>
      <c r="B402" t="s">
        <v>65</v>
      </c>
      <c r="C402" t="s">
        <v>15</v>
      </c>
      <c r="D402">
        <v>0.7</v>
      </c>
      <c r="E402">
        <v>15</v>
      </c>
      <c r="F402" t="s">
        <v>62</v>
      </c>
      <c r="G402">
        <v>49.939329999999998</v>
      </c>
      <c r="H402">
        <v>14.177877000000001</v>
      </c>
      <c r="I402" t="s">
        <v>61</v>
      </c>
      <c r="J402" s="12">
        <v>45379</v>
      </c>
      <c r="K402" t="s">
        <v>14</v>
      </c>
    </row>
    <row r="403" spans="1:11" x14ac:dyDescent="0.3">
      <c r="A403">
        <v>481</v>
      </c>
      <c r="B403" t="s">
        <v>64</v>
      </c>
      <c r="C403" t="s">
        <v>7</v>
      </c>
      <c r="D403">
        <v>0.27300000000000002</v>
      </c>
      <c r="E403">
        <v>23</v>
      </c>
      <c r="F403" t="s">
        <v>62</v>
      </c>
      <c r="G403">
        <v>47.507156999999999</v>
      </c>
      <c r="H403">
        <v>18.940379</v>
      </c>
      <c r="I403" t="s">
        <v>61</v>
      </c>
      <c r="J403" s="12">
        <v>45380</v>
      </c>
      <c r="K403" t="s">
        <v>6</v>
      </c>
    </row>
    <row r="404" spans="1:11" x14ac:dyDescent="0.3">
      <c r="A404">
        <v>482</v>
      </c>
      <c r="B404" t="s">
        <v>64</v>
      </c>
      <c r="C404" t="s">
        <v>17</v>
      </c>
      <c r="D404">
        <v>0.33600000000000002</v>
      </c>
      <c r="E404">
        <v>20</v>
      </c>
      <c r="F404" t="s">
        <v>62</v>
      </c>
      <c r="G404">
        <v>47.780752</v>
      </c>
      <c r="H404">
        <v>14.383452</v>
      </c>
      <c r="I404" t="s">
        <v>20</v>
      </c>
      <c r="J404" s="12">
        <v>45380</v>
      </c>
      <c r="K404" t="s">
        <v>12</v>
      </c>
    </row>
    <row r="405" spans="1:11" x14ac:dyDescent="0.3">
      <c r="A405">
        <v>483</v>
      </c>
      <c r="B405" t="s">
        <v>64</v>
      </c>
      <c r="C405" t="s">
        <v>17</v>
      </c>
      <c r="D405">
        <v>0.28999999999999998</v>
      </c>
      <c r="E405">
        <v>19</v>
      </c>
      <c r="F405" t="s">
        <v>59</v>
      </c>
      <c r="G405">
        <v>47.781078000000001</v>
      </c>
      <c r="H405">
        <v>14.384558999999999</v>
      </c>
      <c r="I405" t="s">
        <v>61</v>
      </c>
      <c r="J405" s="12">
        <v>45380</v>
      </c>
      <c r="K405" t="s">
        <v>12</v>
      </c>
    </row>
    <row r="406" spans="1:11" x14ac:dyDescent="0.3">
      <c r="A406">
        <v>484</v>
      </c>
      <c r="B406" t="s">
        <v>64</v>
      </c>
      <c r="C406" t="s">
        <v>17</v>
      </c>
      <c r="D406">
        <v>0.33700000000000002</v>
      </c>
      <c r="E406">
        <v>22</v>
      </c>
      <c r="F406" t="s">
        <v>59</v>
      </c>
      <c r="G406">
        <v>47.781087999999997</v>
      </c>
      <c r="H406">
        <v>14.385534</v>
      </c>
      <c r="I406" t="s">
        <v>61</v>
      </c>
      <c r="J406" s="12">
        <v>45380</v>
      </c>
      <c r="K406" t="s">
        <v>12</v>
      </c>
    </row>
    <row r="407" spans="1:11" x14ac:dyDescent="0.3">
      <c r="A407">
        <v>485</v>
      </c>
      <c r="B407" t="s">
        <v>65</v>
      </c>
      <c r="C407" t="s">
        <v>13</v>
      </c>
      <c r="D407">
        <v>0.7</v>
      </c>
      <c r="E407">
        <v>16</v>
      </c>
      <c r="F407" t="s">
        <v>59</v>
      </c>
      <c r="G407">
        <v>48.409137999999999</v>
      </c>
      <c r="H407">
        <v>18.863576999999999</v>
      </c>
      <c r="I407" t="s">
        <v>61</v>
      </c>
      <c r="J407" s="12">
        <v>45380</v>
      </c>
      <c r="K407" t="s">
        <v>14</v>
      </c>
    </row>
    <row r="408" spans="1:11" x14ac:dyDescent="0.3">
      <c r="A408">
        <v>486</v>
      </c>
      <c r="B408" t="s">
        <v>63</v>
      </c>
      <c r="C408" t="s">
        <v>13</v>
      </c>
      <c r="D408">
        <v>16</v>
      </c>
      <c r="E408">
        <v>62</v>
      </c>
      <c r="F408" t="s">
        <v>62</v>
      </c>
      <c r="G408">
        <v>48.409447999999998</v>
      </c>
      <c r="H408">
        <v>18.845590999999999</v>
      </c>
      <c r="I408" t="s">
        <v>61</v>
      </c>
      <c r="J408" s="12">
        <v>45380</v>
      </c>
      <c r="K408" t="s">
        <v>14</v>
      </c>
    </row>
    <row r="409" spans="1:11" x14ac:dyDescent="0.3">
      <c r="A409">
        <v>488</v>
      </c>
      <c r="B409" t="s">
        <v>64</v>
      </c>
      <c r="C409" t="s">
        <v>4</v>
      </c>
      <c r="D409">
        <v>0.28899999999999998</v>
      </c>
      <c r="E409">
        <v>24</v>
      </c>
      <c r="F409" t="s">
        <v>59</v>
      </c>
      <c r="G409">
        <v>50.041381999999999</v>
      </c>
      <c r="H409">
        <v>19.949403</v>
      </c>
      <c r="I409" t="s">
        <v>61</v>
      </c>
      <c r="J409" s="12">
        <v>45381</v>
      </c>
      <c r="K409" t="s">
        <v>6</v>
      </c>
    </row>
    <row r="410" spans="1:11" x14ac:dyDescent="0.3">
      <c r="A410">
        <v>489</v>
      </c>
      <c r="B410" t="s">
        <v>65</v>
      </c>
      <c r="C410" t="s">
        <v>11</v>
      </c>
      <c r="D410">
        <v>1.1000000000000001</v>
      </c>
      <c r="E410">
        <v>25</v>
      </c>
      <c r="F410" t="s">
        <v>59</v>
      </c>
      <c r="G410">
        <v>48.160772999999999</v>
      </c>
      <c r="H410">
        <v>11.493679999999999</v>
      </c>
      <c r="I410" t="s">
        <v>61</v>
      </c>
      <c r="J410" s="12">
        <v>45381</v>
      </c>
      <c r="K410" t="s">
        <v>12</v>
      </c>
    </row>
    <row r="411" spans="1:11" x14ac:dyDescent="0.3">
      <c r="A411">
        <v>490</v>
      </c>
      <c r="B411" t="s">
        <v>65</v>
      </c>
      <c r="C411" t="s">
        <v>11</v>
      </c>
      <c r="D411">
        <v>0.6</v>
      </c>
      <c r="E411">
        <v>15</v>
      </c>
      <c r="F411" t="s">
        <v>62</v>
      </c>
      <c r="G411">
        <v>48.160812999999997</v>
      </c>
      <c r="H411">
        <v>11.492539000000001</v>
      </c>
      <c r="I411" t="s">
        <v>61</v>
      </c>
      <c r="J411" s="12">
        <v>45381</v>
      </c>
      <c r="K411" t="s">
        <v>12</v>
      </c>
    </row>
    <row r="412" spans="1:11" x14ac:dyDescent="0.3">
      <c r="A412">
        <v>491</v>
      </c>
      <c r="B412" t="s">
        <v>65</v>
      </c>
      <c r="C412" t="s">
        <v>11</v>
      </c>
      <c r="D412">
        <v>0.5</v>
      </c>
      <c r="E412">
        <v>20</v>
      </c>
      <c r="F412" t="s">
        <v>62</v>
      </c>
      <c r="G412">
        <v>48.161605000000002</v>
      </c>
      <c r="H412">
        <v>11.491149999999999</v>
      </c>
      <c r="I412" t="s">
        <v>61</v>
      </c>
      <c r="J412" s="12">
        <v>45381</v>
      </c>
      <c r="K412" t="s">
        <v>12</v>
      </c>
    </row>
    <row r="413" spans="1:11" x14ac:dyDescent="0.3">
      <c r="A413">
        <v>492</v>
      </c>
      <c r="B413" t="s">
        <v>65</v>
      </c>
      <c r="C413" t="s">
        <v>11</v>
      </c>
      <c r="D413">
        <v>0.7</v>
      </c>
      <c r="E413">
        <v>20</v>
      </c>
      <c r="F413" t="s">
        <v>59</v>
      </c>
      <c r="G413">
        <v>48.162593000000001</v>
      </c>
      <c r="H413">
        <v>11.491872000000001</v>
      </c>
      <c r="I413" t="s">
        <v>61</v>
      </c>
      <c r="J413" s="12">
        <v>45381</v>
      </c>
      <c r="K413" t="s">
        <v>12</v>
      </c>
    </row>
    <row r="414" spans="1:11" x14ac:dyDescent="0.3">
      <c r="A414">
        <v>493</v>
      </c>
      <c r="B414" t="s">
        <v>65</v>
      </c>
      <c r="C414" t="s">
        <v>11</v>
      </c>
      <c r="D414">
        <v>0.6</v>
      </c>
      <c r="E414">
        <v>15</v>
      </c>
      <c r="F414" t="s">
        <v>62</v>
      </c>
      <c r="G414">
        <v>48.16142</v>
      </c>
      <c r="H414">
        <v>11.495056</v>
      </c>
      <c r="I414" t="s">
        <v>61</v>
      </c>
      <c r="J414" s="12">
        <v>45381</v>
      </c>
      <c r="K414" t="s">
        <v>12</v>
      </c>
    </row>
    <row r="415" spans="1:11" x14ac:dyDescent="0.3">
      <c r="A415">
        <v>494</v>
      </c>
      <c r="B415" t="s">
        <v>65</v>
      </c>
      <c r="C415" t="s">
        <v>11</v>
      </c>
      <c r="D415">
        <v>0.5</v>
      </c>
      <c r="E415">
        <v>16</v>
      </c>
      <c r="F415" t="s">
        <v>62</v>
      </c>
      <c r="G415">
        <v>48.162548999999999</v>
      </c>
      <c r="H415">
        <v>11.492991</v>
      </c>
      <c r="I415" t="s">
        <v>61</v>
      </c>
      <c r="J415" s="12">
        <v>45381</v>
      </c>
      <c r="K415" t="s">
        <v>12</v>
      </c>
    </row>
    <row r="416" spans="1:11" x14ac:dyDescent="0.3">
      <c r="A416">
        <v>495</v>
      </c>
      <c r="B416" t="s">
        <v>65</v>
      </c>
      <c r="C416" t="s">
        <v>11</v>
      </c>
      <c r="D416">
        <v>0.9</v>
      </c>
      <c r="E416">
        <v>19</v>
      </c>
      <c r="F416" t="s">
        <v>59</v>
      </c>
      <c r="G416">
        <v>48.161645999999998</v>
      </c>
      <c r="H416">
        <v>11.493511</v>
      </c>
      <c r="I416" t="s">
        <v>61</v>
      </c>
      <c r="J416" s="12">
        <v>45381</v>
      </c>
      <c r="K416" t="s">
        <v>12</v>
      </c>
    </row>
    <row r="417" spans="1:11" x14ac:dyDescent="0.3">
      <c r="A417">
        <v>496</v>
      </c>
      <c r="B417" t="s">
        <v>63</v>
      </c>
      <c r="C417" t="s">
        <v>13</v>
      </c>
      <c r="D417">
        <v>21</v>
      </c>
      <c r="E417">
        <v>85</v>
      </c>
      <c r="F417" t="s">
        <v>59</v>
      </c>
      <c r="G417">
        <v>48.405213000000003</v>
      </c>
      <c r="H417">
        <v>18.84085</v>
      </c>
      <c r="I417" t="s">
        <v>61</v>
      </c>
      <c r="J417" s="12">
        <v>45381</v>
      </c>
      <c r="K417" t="s">
        <v>14</v>
      </c>
    </row>
    <row r="418" spans="1:11" x14ac:dyDescent="0.3">
      <c r="A418">
        <v>497</v>
      </c>
      <c r="B418" t="s">
        <v>64</v>
      </c>
      <c r="C418" t="s">
        <v>15</v>
      </c>
      <c r="D418">
        <v>0.28799999999999998</v>
      </c>
      <c r="E418">
        <v>18</v>
      </c>
      <c r="F418" t="s">
        <v>59</v>
      </c>
      <c r="G418">
        <v>49.939</v>
      </c>
      <c r="H418">
        <v>14.182238999999999</v>
      </c>
      <c r="I418" t="s">
        <v>61</v>
      </c>
      <c r="J418" s="12">
        <v>45381</v>
      </c>
      <c r="K418" t="s">
        <v>14</v>
      </c>
    </row>
    <row r="419" spans="1:11" x14ac:dyDescent="0.3">
      <c r="A419">
        <v>498</v>
      </c>
      <c r="B419" t="s">
        <v>64</v>
      </c>
      <c r="C419" t="s">
        <v>13</v>
      </c>
      <c r="D419">
        <v>0.28699999999999998</v>
      </c>
      <c r="E419">
        <v>21</v>
      </c>
      <c r="F419" t="s">
        <v>59</v>
      </c>
      <c r="G419">
        <v>48.224896999999999</v>
      </c>
      <c r="H419">
        <v>17.085978999999998</v>
      </c>
      <c r="I419" t="s">
        <v>61</v>
      </c>
      <c r="J419" s="12">
        <v>45381</v>
      </c>
      <c r="K419" t="s">
        <v>14</v>
      </c>
    </row>
    <row r="420" spans="1:11" x14ac:dyDescent="0.3">
      <c r="A420">
        <v>499</v>
      </c>
      <c r="B420" t="s">
        <v>64</v>
      </c>
      <c r="C420" t="s">
        <v>13</v>
      </c>
      <c r="D420">
        <v>0.28599999999999998</v>
      </c>
      <c r="E420">
        <v>18</v>
      </c>
      <c r="F420" t="s">
        <v>59</v>
      </c>
      <c r="G420">
        <v>48.228960999999998</v>
      </c>
      <c r="H420">
        <v>17.076478000000002</v>
      </c>
      <c r="I420" t="s">
        <v>61</v>
      </c>
      <c r="J420" s="12">
        <v>45381</v>
      </c>
      <c r="K420" t="s">
        <v>14</v>
      </c>
    </row>
    <row r="421" spans="1:11" x14ac:dyDescent="0.3">
      <c r="A421">
        <v>501</v>
      </c>
      <c r="B421" t="s">
        <v>58</v>
      </c>
      <c r="C421" t="s">
        <v>4</v>
      </c>
      <c r="D421">
        <v>970</v>
      </c>
      <c r="E421">
        <v>307</v>
      </c>
      <c r="F421" t="s">
        <v>59</v>
      </c>
      <c r="G421">
        <v>52.805402000000001</v>
      </c>
      <c r="H421">
        <v>23.691244000000001</v>
      </c>
      <c r="I421" t="s">
        <v>61</v>
      </c>
      <c r="J421" s="12">
        <v>45382</v>
      </c>
      <c r="K421" t="s">
        <v>6</v>
      </c>
    </row>
    <row r="422" spans="1:11" x14ac:dyDescent="0.3">
      <c r="A422">
        <v>502</v>
      </c>
      <c r="B422" t="s">
        <v>64</v>
      </c>
      <c r="C422" t="s">
        <v>4</v>
      </c>
      <c r="D422">
        <v>0.32300000000000001</v>
      </c>
      <c r="E422">
        <v>20</v>
      </c>
      <c r="F422" t="s">
        <v>62</v>
      </c>
      <c r="G422">
        <v>50.041365999999996</v>
      </c>
      <c r="H422">
        <v>19.949444</v>
      </c>
      <c r="I422" t="s">
        <v>61</v>
      </c>
      <c r="J422" s="12">
        <v>45382</v>
      </c>
      <c r="K422" t="s">
        <v>6</v>
      </c>
    </row>
    <row r="423" spans="1:11" x14ac:dyDescent="0.3">
      <c r="A423">
        <v>503</v>
      </c>
      <c r="B423" t="s">
        <v>64</v>
      </c>
      <c r="C423" t="s">
        <v>7</v>
      </c>
      <c r="D423">
        <v>0.297366504854368</v>
      </c>
      <c r="E423">
        <v>19</v>
      </c>
      <c r="F423" t="s">
        <v>62</v>
      </c>
      <c r="G423">
        <v>47.509537999999999</v>
      </c>
      <c r="H423">
        <v>18.945968000000001</v>
      </c>
      <c r="I423" t="s">
        <v>61</v>
      </c>
      <c r="J423" s="12">
        <v>45382</v>
      </c>
      <c r="K423" t="s">
        <v>6</v>
      </c>
    </row>
    <row r="424" spans="1:11" x14ac:dyDescent="0.3">
      <c r="A424">
        <v>504</v>
      </c>
      <c r="B424" t="s">
        <v>65</v>
      </c>
      <c r="C424" t="s">
        <v>13</v>
      </c>
      <c r="D424">
        <v>0.9</v>
      </c>
      <c r="E424">
        <v>19</v>
      </c>
      <c r="F424" t="s">
        <v>62</v>
      </c>
      <c r="G424">
        <v>48.407463999999997</v>
      </c>
      <c r="H424">
        <v>18.87406</v>
      </c>
      <c r="I424" t="s">
        <v>61</v>
      </c>
      <c r="J424" s="12">
        <v>45382</v>
      </c>
      <c r="K424" t="s">
        <v>14</v>
      </c>
    </row>
    <row r="425" spans="1:11" x14ac:dyDescent="0.3">
      <c r="A425">
        <v>505</v>
      </c>
      <c r="B425" t="s">
        <v>63</v>
      </c>
      <c r="C425" t="s">
        <v>13</v>
      </c>
      <c r="D425">
        <v>20</v>
      </c>
      <c r="E425">
        <v>78</v>
      </c>
      <c r="F425" t="s">
        <v>62</v>
      </c>
      <c r="G425">
        <v>48.409790000000001</v>
      </c>
      <c r="H425">
        <v>18.870341</v>
      </c>
      <c r="I425" t="s">
        <v>61</v>
      </c>
      <c r="J425" s="12">
        <v>45382</v>
      </c>
      <c r="K425" t="s">
        <v>14</v>
      </c>
    </row>
    <row r="426" spans="1:11" x14ac:dyDescent="0.3">
      <c r="A426">
        <v>508</v>
      </c>
      <c r="B426" t="s">
        <v>58</v>
      </c>
      <c r="C426" t="s">
        <v>4</v>
      </c>
      <c r="D426">
        <v>459</v>
      </c>
      <c r="E426">
        <v>212</v>
      </c>
      <c r="F426" t="s">
        <v>62</v>
      </c>
      <c r="G426">
        <v>52.807403000000001</v>
      </c>
      <c r="H426">
        <v>23.683043999999999</v>
      </c>
      <c r="I426" t="s">
        <v>61</v>
      </c>
      <c r="J426" s="12">
        <v>45383</v>
      </c>
      <c r="K426" t="s">
        <v>6</v>
      </c>
    </row>
    <row r="427" spans="1:11" x14ac:dyDescent="0.3">
      <c r="A427">
        <v>509</v>
      </c>
      <c r="B427" t="s">
        <v>58</v>
      </c>
      <c r="C427" t="s">
        <v>4</v>
      </c>
      <c r="D427">
        <v>705</v>
      </c>
      <c r="E427">
        <v>280</v>
      </c>
      <c r="F427" t="s">
        <v>62</v>
      </c>
      <c r="G427">
        <v>52.803733000000001</v>
      </c>
      <c r="H427">
        <v>23.686928000000002</v>
      </c>
      <c r="I427" t="s">
        <v>61</v>
      </c>
      <c r="J427" s="12">
        <v>45383</v>
      </c>
      <c r="K427" t="s">
        <v>6</v>
      </c>
    </row>
    <row r="428" spans="1:11" x14ac:dyDescent="0.3">
      <c r="A428">
        <v>510</v>
      </c>
      <c r="B428" t="s">
        <v>64</v>
      </c>
      <c r="C428" t="s">
        <v>4</v>
      </c>
      <c r="D428">
        <v>0.32300000000000001</v>
      </c>
      <c r="E428">
        <v>19</v>
      </c>
      <c r="F428" t="s">
        <v>62</v>
      </c>
      <c r="G428">
        <v>50.041803999999999</v>
      </c>
      <c r="H428">
        <v>19.951360999999999</v>
      </c>
      <c r="I428" t="s">
        <v>61</v>
      </c>
      <c r="J428" s="12">
        <v>45383</v>
      </c>
      <c r="K428" t="s">
        <v>6</v>
      </c>
    </row>
    <row r="429" spans="1:11" x14ac:dyDescent="0.3">
      <c r="A429">
        <v>511</v>
      </c>
      <c r="B429" t="s">
        <v>64</v>
      </c>
      <c r="C429" t="s">
        <v>7</v>
      </c>
      <c r="D429">
        <v>0.33700000000000002</v>
      </c>
      <c r="E429">
        <v>18</v>
      </c>
      <c r="F429" t="s">
        <v>62</v>
      </c>
      <c r="G429">
        <v>47.511558000000001</v>
      </c>
      <c r="H429">
        <v>18.942454000000001</v>
      </c>
      <c r="I429" t="s">
        <v>61</v>
      </c>
      <c r="J429" s="12">
        <v>45383</v>
      </c>
      <c r="K429" t="s">
        <v>6</v>
      </c>
    </row>
    <row r="430" spans="1:11" x14ac:dyDescent="0.3">
      <c r="A430">
        <v>512</v>
      </c>
      <c r="B430" t="s">
        <v>65</v>
      </c>
      <c r="C430" t="s">
        <v>13</v>
      </c>
      <c r="D430">
        <v>1.1000000000000001</v>
      </c>
      <c r="E430">
        <v>22</v>
      </c>
      <c r="F430" t="s">
        <v>59</v>
      </c>
      <c r="G430">
        <v>48.409754</v>
      </c>
      <c r="H430">
        <v>18.870477000000001</v>
      </c>
      <c r="I430" t="s">
        <v>61</v>
      </c>
      <c r="J430" s="12">
        <v>45383</v>
      </c>
      <c r="K430" t="s">
        <v>14</v>
      </c>
    </row>
    <row r="431" spans="1:11" x14ac:dyDescent="0.3">
      <c r="A431">
        <v>513</v>
      </c>
      <c r="B431" t="s">
        <v>63</v>
      </c>
      <c r="C431" t="s">
        <v>15</v>
      </c>
      <c r="D431">
        <v>26</v>
      </c>
      <c r="E431">
        <v>81</v>
      </c>
      <c r="F431" t="s">
        <v>62</v>
      </c>
      <c r="G431">
        <v>50.884011999999998</v>
      </c>
      <c r="H431">
        <v>14.370554</v>
      </c>
      <c r="I431" t="s">
        <v>61</v>
      </c>
      <c r="J431" s="12">
        <v>45383</v>
      </c>
      <c r="K431" t="s">
        <v>14</v>
      </c>
    </row>
    <row r="432" spans="1:11" x14ac:dyDescent="0.3">
      <c r="A432">
        <v>514</v>
      </c>
      <c r="B432" t="s">
        <v>64</v>
      </c>
      <c r="C432" t="s">
        <v>15</v>
      </c>
      <c r="D432">
        <v>0.28299999999999997</v>
      </c>
      <c r="E432">
        <v>22</v>
      </c>
      <c r="F432" t="s">
        <v>62</v>
      </c>
      <c r="G432">
        <v>49.939191000000001</v>
      </c>
      <c r="H432">
        <v>14.180256</v>
      </c>
      <c r="I432" t="s">
        <v>61</v>
      </c>
      <c r="J432" s="12">
        <v>45383</v>
      </c>
      <c r="K432" t="s">
        <v>14</v>
      </c>
    </row>
    <row r="433" spans="1:11" x14ac:dyDescent="0.3">
      <c r="A433">
        <v>515</v>
      </c>
      <c r="B433" t="s">
        <v>64</v>
      </c>
      <c r="C433" t="s">
        <v>13</v>
      </c>
      <c r="D433">
        <v>0.26</v>
      </c>
      <c r="E433">
        <v>22</v>
      </c>
      <c r="F433" t="s">
        <v>62</v>
      </c>
      <c r="G433">
        <v>48.231229999999996</v>
      </c>
      <c r="H433">
        <v>17.090253000000001</v>
      </c>
      <c r="I433" t="s">
        <v>61</v>
      </c>
      <c r="J433" s="12">
        <v>45383</v>
      </c>
      <c r="K433" t="s">
        <v>14</v>
      </c>
    </row>
    <row r="434" spans="1:11" x14ac:dyDescent="0.3">
      <c r="A434">
        <v>518</v>
      </c>
      <c r="B434" t="s">
        <v>65</v>
      </c>
      <c r="C434" t="s">
        <v>7</v>
      </c>
      <c r="D434">
        <v>0.6</v>
      </c>
      <c r="E434">
        <v>20</v>
      </c>
      <c r="F434" t="s">
        <v>62</v>
      </c>
      <c r="G434">
        <v>48.504424999999998</v>
      </c>
      <c r="H434">
        <v>20.548743999999999</v>
      </c>
      <c r="I434" t="s">
        <v>61</v>
      </c>
      <c r="J434" s="12">
        <v>45384</v>
      </c>
      <c r="K434" t="s">
        <v>6</v>
      </c>
    </row>
    <row r="435" spans="1:11" x14ac:dyDescent="0.3">
      <c r="A435">
        <v>519</v>
      </c>
      <c r="B435" t="s">
        <v>63</v>
      </c>
      <c r="C435" t="s">
        <v>4</v>
      </c>
      <c r="D435">
        <v>22</v>
      </c>
      <c r="E435">
        <v>101</v>
      </c>
      <c r="F435" t="s">
        <v>59</v>
      </c>
      <c r="G435">
        <v>52.824598999999999</v>
      </c>
      <c r="H435">
        <v>23.816842000000001</v>
      </c>
      <c r="I435" t="s">
        <v>61</v>
      </c>
      <c r="J435" s="12">
        <v>45384</v>
      </c>
      <c r="K435" t="s">
        <v>6</v>
      </c>
    </row>
    <row r="436" spans="1:11" x14ac:dyDescent="0.3">
      <c r="A436">
        <v>520</v>
      </c>
      <c r="B436" t="s">
        <v>64</v>
      </c>
      <c r="C436" t="s">
        <v>4</v>
      </c>
      <c r="D436">
        <v>0.29399999999999998</v>
      </c>
      <c r="E436">
        <v>19</v>
      </c>
      <c r="F436" t="s">
        <v>59</v>
      </c>
      <c r="G436">
        <v>50.041131</v>
      </c>
      <c r="H436">
        <v>19.949542999999998</v>
      </c>
      <c r="I436" t="s">
        <v>61</v>
      </c>
      <c r="J436" s="12">
        <v>45384</v>
      </c>
      <c r="K436" t="s">
        <v>6</v>
      </c>
    </row>
    <row r="437" spans="1:11" x14ac:dyDescent="0.3">
      <c r="A437">
        <v>521</v>
      </c>
      <c r="B437" t="s">
        <v>64</v>
      </c>
      <c r="C437" t="s">
        <v>4</v>
      </c>
      <c r="D437">
        <v>0.297366504854368</v>
      </c>
      <c r="E437">
        <v>20.418848167539199</v>
      </c>
      <c r="F437" t="s">
        <v>59</v>
      </c>
      <c r="G437">
        <v>50.041552000000003</v>
      </c>
      <c r="H437">
        <v>19.949984000000001</v>
      </c>
      <c r="I437" t="s">
        <v>61</v>
      </c>
      <c r="J437" s="12">
        <v>45384</v>
      </c>
      <c r="K437" t="s">
        <v>6</v>
      </c>
    </row>
    <row r="438" spans="1:11" x14ac:dyDescent="0.3">
      <c r="A438">
        <v>522</v>
      </c>
      <c r="B438" t="s">
        <v>64</v>
      </c>
      <c r="C438" t="s">
        <v>4</v>
      </c>
      <c r="D438">
        <v>0.312</v>
      </c>
      <c r="E438">
        <v>23</v>
      </c>
      <c r="F438" t="s">
        <v>62</v>
      </c>
      <c r="G438">
        <v>50.041944999999998</v>
      </c>
      <c r="H438">
        <v>19.94932</v>
      </c>
      <c r="I438" t="s">
        <v>16</v>
      </c>
      <c r="J438" s="12">
        <v>45384</v>
      </c>
      <c r="K438" t="s">
        <v>6</v>
      </c>
    </row>
    <row r="439" spans="1:11" x14ac:dyDescent="0.3">
      <c r="A439">
        <v>523</v>
      </c>
      <c r="B439" t="s">
        <v>64</v>
      </c>
      <c r="C439" t="s">
        <v>4</v>
      </c>
      <c r="D439">
        <v>0.28999999999999998</v>
      </c>
      <c r="E439">
        <v>24</v>
      </c>
      <c r="F439" t="s">
        <v>59</v>
      </c>
      <c r="G439">
        <v>50.041924999999999</v>
      </c>
      <c r="H439">
        <v>19.950894000000002</v>
      </c>
      <c r="I439" t="s">
        <v>61</v>
      </c>
      <c r="J439" s="12">
        <v>45384</v>
      </c>
      <c r="K439" t="s">
        <v>6</v>
      </c>
    </row>
    <row r="440" spans="1:11" x14ac:dyDescent="0.3">
      <c r="A440">
        <v>524</v>
      </c>
      <c r="B440" t="s">
        <v>64</v>
      </c>
      <c r="C440" t="s">
        <v>7</v>
      </c>
      <c r="D440">
        <v>0.25800000000000001</v>
      </c>
      <c r="E440">
        <v>21</v>
      </c>
      <c r="F440" t="s">
        <v>62</v>
      </c>
      <c r="G440">
        <v>47.511581999999997</v>
      </c>
      <c r="H440">
        <v>18.942340999999999</v>
      </c>
      <c r="I440" t="s">
        <v>61</v>
      </c>
      <c r="J440" s="12">
        <v>45384</v>
      </c>
      <c r="K440" t="s">
        <v>6</v>
      </c>
    </row>
    <row r="441" spans="1:11" x14ac:dyDescent="0.3">
      <c r="A441">
        <v>525</v>
      </c>
      <c r="B441" t="s">
        <v>65</v>
      </c>
      <c r="C441" t="s">
        <v>17</v>
      </c>
      <c r="D441">
        <v>0.8</v>
      </c>
      <c r="E441">
        <v>15</v>
      </c>
      <c r="F441" t="s">
        <v>62</v>
      </c>
      <c r="G441">
        <v>47.319091</v>
      </c>
      <c r="H441">
        <v>11.188058</v>
      </c>
      <c r="I441" t="s">
        <v>61</v>
      </c>
      <c r="J441" s="12">
        <v>45384</v>
      </c>
      <c r="K441" t="s">
        <v>12</v>
      </c>
    </row>
    <row r="442" spans="1:11" x14ac:dyDescent="0.3">
      <c r="A442">
        <v>526</v>
      </c>
      <c r="B442" t="s">
        <v>65</v>
      </c>
      <c r="C442" t="s">
        <v>11</v>
      </c>
      <c r="D442">
        <v>0.8</v>
      </c>
      <c r="E442">
        <v>18</v>
      </c>
      <c r="F442" t="s">
        <v>59</v>
      </c>
      <c r="G442">
        <v>48.161892000000002</v>
      </c>
      <c r="H442">
        <v>11.493888</v>
      </c>
      <c r="I442" t="s">
        <v>61</v>
      </c>
      <c r="J442" s="12">
        <v>45384</v>
      </c>
      <c r="K442" t="s">
        <v>12</v>
      </c>
    </row>
    <row r="443" spans="1:11" x14ac:dyDescent="0.3">
      <c r="A443">
        <v>527</v>
      </c>
      <c r="B443" t="s">
        <v>65</v>
      </c>
      <c r="C443" t="s">
        <v>11</v>
      </c>
      <c r="D443">
        <v>0.6</v>
      </c>
      <c r="E443">
        <v>15</v>
      </c>
      <c r="F443" t="s">
        <v>62</v>
      </c>
      <c r="G443">
        <v>48.161217999999998</v>
      </c>
      <c r="H443">
        <v>11.494676999999999</v>
      </c>
      <c r="I443" t="s">
        <v>61</v>
      </c>
      <c r="J443" s="12">
        <v>45384</v>
      </c>
      <c r="K443" t="s">
        <v>12</v>
      </c>
    </row>
    <row r="444" spans="1:11" x14ac:dyDescent="0.3">
      <c r="A444">
        <v>528</v>
      </c>
      <c r="B444" t="s">
        <v>65</v>
      </c>
      <c r="C444" t="s">
        <v>11</v>
      </c>
      <c r="D444">
        <v>0.8</v>
      </c>
      <c r="E444">
        <v>23</v>
      </c>
      <c r="F444" t="s">
        <v>59</v>
      </c>
      <c r="G444">
        <v>48.161451999999997</v>
      </c>
      <c r="H444">
        <v>11.495239</v>
      </c>
      <c r="I444" t="s">
        <v>61</v>
      </c>
      <c r="J444" s="12">
        <v>45384</v>
      </c>
      <c r="K444" t="s">
        <v>12</v>
      </c>
    </row>
    <row r="445" spans="1:11" x14ac:dyDescent="0.3">
      <c r="A445">
        <v>529</v>
      </c>
      <c r="B445" t="s">
        <v>65</v>
      </c>
      <c r="C445" t="s">
        <v>11</v>
      </c>
      <c r="D445">
        <v>0.6</v>
      </c>
      <c r="E445">
        <v>16</v>
      </c>
      <c r="F445" t="s">
        <v>62</v>
      </c>
      <c r="G445">
        <v>48.160915000000003</v>
      </c>
      <c r="H445">
        <v>11.489927</v>
      </c>
      <c r="I445" t="s">
        <v>61</v>
      </c>
      <c r="J445" s="12">
        <v>45384</v>
      </c>
      <c r="K445" t="s">
        <v>12</v>
      </c>
    </row>
    <row r="446" spans="1:11" x14ac:dyDescent="0.3">
      <c r="A446">
        <v>530</v>
      </c>
      <c r="B446" t="s">
        <v>65</v>
      </c>
      <c r="C446" t="s">
        <v>11</v>
      </c>
      <c r="D446">
        <v>0.7</v>
      </c>
      <c r="E446">
        <v>19</v>
      </c>
      <c r="F446" t="s">
        <v>59</v>
      </c>
      <c r="G446">
        <v>48.162168999999999</v>
      </c>
      <c r="H446">
        <v>11.495473</v>
      </c>
      <c r="I446" t="s">
        <v>61</v>
      </c>
      <c r="J446" s="12">
        <v>45384</v>
      </c>
      <c r="K446" t="s">
        <v>12</v>
      </c>
    </row>
    <row r="447" spans="1:11" x14ac:dyDescent="0.3">
      <c r="A447">
        <v>531</v>
      </c>
      <c r="B447" t="s">
        <v>65</v>
      </c>
      <c r="C447" t="s">
        <v>11</v>
      </c>
      <c r="D447">
        <v>1</v>
      </c>
      <c r="E447">
        <v>25</v>
      </c>
      <c r="F447" t="s">
        <v>62</v>
      </c>
      <c r="G447">
        <v>49.546289999999999</v>
      </c>
      <c r="H447">
        <v>11.085729000000001</v>
      </c>
      <c r="I447" t="s">
        <v>61</v>
      </c>
      <c r="J447" s="12">
        <v>45384</v>
      </c>
      <c r="K447" t="s">
        <v>12</v>
      </c>
    </row>
    <row r="448" spans="1:11" x14ac:dyDescent="0.3">
      <c r="A448">
        <v>532</v>
      </c>
      <c r="B448" t="s">
        <v>65</v>
      </c>
      <c r="C448" t="s">
        <v>11</v>
      </c>
      <c r="D448">
        <v>1.1000000000000001</v>
      </c>
      <c r="E448">
        <v>23</v>
      </c>
      <c r="F448" t="s">
        <v>59</v>
      </c>
      <c r="G448">
        <v>49.559558000000003</v>
      </c>
      <c r="H448">
        <v>11.081149999999999</v>
      </c>
      <c r="I448" t="s">
        <v>61</v>
      </c>
      <c r="J448" s="12">
        <v>45384</v>
      </c>
      <c r="K448" t="s">
        <v>12</v>
      </c>
    </row>
    <row r="449" spans="1:11" x14ac:dyDescent="0.3">
      <c r="A449">
        <v>533</v>
      </c>
      <c r="B449" t="s">
        <v>64</v>
      </c>
      <c r="C449" t="s">
        <v>17</v>
      </c>
      <c r="D449">
        <v>0.27300000000000002</v>
      </c>
      <c r="E449">
        <v>19</v>
      </c>
      <c r="F449" t="s">
        <v>62</v>
      </c>
      <c r="G449">
        <v>47.781613</v>
      </c>
      <c r="H449">
        <v>14.385153000000001</v>
      </c>
      <c r="I449" t="s">
        <v>61</v>
      </c>
      <c r="J449" s="12">
        <v>45384</v>
      </c>
      <c r="K449" t="s">
        <v>12</v>
      </c>
    </row>
    <row r="450" spans="1:11" x14ac:dyDescent="0.3">
      <c r="A450">
        <v>534</v>
      </c>
      <c r="B450" t="s">
        <v>64</v>
      </c>
      <c r="C450" t="s">
        <v>17</v>
      </c>
      <c r="D450">
        <v>0.33</v>
      </c>
      <c r="E450">
        <v>18</v>
      </c>
      <c r="F450" t="s">
        <v>62</v>
      </c>
      <c r="G450">
        <v>47.781637000000003</v>
      </c>
      <c r="H450">
        <v>14.385382999999999</v>
      </c>
      <c r="I450" t="s">
        <v>61</v>
      </c>
      <c r="J450" s="12">
        <v>45384</v>
      </c>
      <c r="K450" t="s">
        <v>12</v>
      </c>
    </row>
    <row r="451" spans="1:11" x14ac:dyDescent="0.3">
      <c r="A451">
        <v>535</v>
      </c>
      <c r="B451" t="s">
        <v>64</v>
      </c>
      <c r="C451" t="s">
        <v>17</v>
      </c>
      <c r="D451">
        <v>0.26200000000000001</v>
      </c>
      <c r="E451">
        <v>18</v>
      </c>
      <c r="F451" t="s">
        <v>62</v>
      </c>
      <c r="G451">
        <v>47.781838</v>
      </c>
      <c r="H451">
        <v>14.382937999999999</v>
      </c>
      <c r="I451" t="s">
        <v>61</v>
      </c>
      <c r="J451" s="12">
        <v>45384</v>
      </c>
      <c r="K451" t="s">
        <v>12</v>
      </c>
    </row>
    <row r="452" spans="1:11" x14ac:dyDescent="0.3">
      <c r="A452">
        <v>536</v>
      </c>
      <c r="B452" t="s">
        <v>64</v>
      </c>
      <c r="C452" t="s">
        <v>17</v>
      </c>
      <c r="D452">
        <v>0.31</v>
      </c>
      <c r="E452">
        <v>19</v>
      </c>
      <c r="F452" t="s">
        <v>62</v>
      </c>
      <c r="G452">
        <v>47.780925000000003</v>
      </c>
      <c r="H452">
        <v>14.383694999999999</v>
      </c>
      <c r="I452" t="s">
        <v>61</v>
      </c>
      <c r="J452" s="12">
        <v>45384</v>
      </c>
      <c r="K452" t="s">
        <v>12</v>
      </c>
    </row>
    <row r="453" spans="1:11" x14ac:dyDescent="0.3">
      <c r="A453">
        <v>537</v>
      </c>
      <c r="B453" t="s">
        <v>64</v>
      </c>
      <c r="C453" t="s">
        <v>17</v>
      </c>
      <c r="D453">
        <v>0.33400000000000002</v>
      </c>
      <c r="E453">
        <v>21</v>
      </c>
      <c r="F453" t="s">
        <v>62</v>
      </c>
      <c r="G453">
        <v>47.781449000000002</v>
      </c>
      <c r="H453">
        <v>14.383421</v>
      </c>
      <c r="I453" t="s">
        <v>61</v>
      </c>
      <c r="J453" s="12">
        <v>45384</v>
      </c>
      <c r="K453" t="s">
        <v>12</v>
      </c>
    </row>
    <row r="454" spans="1:11" x14ac:dyDescent="0.3">
      <c r="A454">
        <v>538</v>
      </c>
      <c r="B454" t="s">
        <v>64</v>
      </c>
      <c r="C454" t="s">
        <v>17</v>
      </c>
      <c r="D454">
        <v>0.27</v>
      </c>
      <c r="E454">
        <v>20</v>
      </c>
      <c r="F454" t="s">
        <v>62</v>
      </c>
      <c r="G454">
        <v>47.781799999999997</v>
      </c>
      <c r="H454">
        <v>14.383699</v>
      </c>
      <c r="I454" t="s">
        <v>61</v>
      </c>
      <c r="J454" s="12">
        <v>45384</v>
      </c>
      <c r="K454" t="s">
        <v>12</v>
      </c>
    </row>
    <row r="455" spans="1:11" x14ac:dyDescent="0.3">
      <c r="A455">
        <v>539</v>
      </c>
      <c r="B455" t="s">
        <v>64</v>
      </c>
      <c r="C455" t="s">
        <v>17</v>
      </c>
      <c r="D455">
        <v>0.27700000000000002</v>
      </c>
      <c r="E455">
        <v>18</v>
      </c>
      <c r="F455" t="s">
        <v>59</v>
      </c>
      <c r="G455">
        <v>47.781072999999999</v>
      </c>
      <c r="H455">
        <v>14.383506000000001</v>
      </c>
      <c r="I455" t="s">
        <v>61</v>
      </c>
      <c r="J455" s="12">
        <v>45384</v>
      </c>
      <c r="K455" t="s">
        <v>12</v>
      </c>
    </row>
    <row r="456" spans="1:11" x14ac:dyDescent="0.3">
      <c r="A456">
        <v>540</v>
      </c>
      <c r="B456" t="s">
        <v>64</v>
      </c>
      <c r="C456" t="s">
        <v>11</v>
      </c>
      <c r="D456">
        <v>0.25800000000000001</v>
      </c>
      <c r="E456">
        <v>19</v>
      </c>
      <c r="F456" t="s">
        <v>59</v>
      </c>
      <c r="G456">
        <v>48.162250999999998</v>
      </c>
      <c r="H456">
        <v>11.494811</v>
      </c>
      <c r="I456" t="s">
        <v>61</v>
      </c>
      <c r="J456" s="12">
        <v>45384</v>
      </c>
      <c r="K456" t="s">
        <v>12</v>
      </c>
    </row>
    <row r="457" spans="1:11" x14ac:dyDescent="0.3">
      <c r="A457">
        <v>541</v>
      </c>
      <c r="B457" t="s">
        <v>64</v>
      </c>
      <c r="C457" t="s">
        <v>11</v>
      </c>
      <c r="D457">
        <v>0.25600000000000001</v>
      </c>
      <c r="E457">
        <v>16</v>
      </c>
      <c r="F457" t="s">
        <v>62</v>
      </c>
      <c r="G457">
        <v>48.160432</v>
      </c>
      <c r="H457">
        <v>11.494472</v>
      </c>
      <c r="I457" t="s">
        <v>61</v>
      </c>
      <c r="J457" s="12">
        <v>45384</v>
      </c>
      <c r="K457" t="s">
        <v>12</v>
      </c>
    </row>
    <row r="458" spans="1:11" x14ac:dyDescent="0.3">
      <c r="A458">
        <v>542</v>
      </c>
      <c r="B458" t="s">
        <v>64</v>
      </c>
      <c r="C458" t="s">
        <v>11</v>
      </c>
      <c r="D458">
        <v>0.317</v>
      </c>
      <c r="E458">
        <v>21</v>
      </c>
      <c r="F458" t="s">
        <v>62</v>
      </c>
      <c r="G458">
        <v>48.162562999999999</v>
      </c>
      <c r="H458">
        <v>11.495277</v>
      </c>
      <c r="I458" t="s">
        <v>61</v>
      </c>
      <c r="J458" s="12">
        <v>45384</v>
      </c>
      <c r="K458" t="s">
        <v>12</v>
      </c>
    </row>
    <row r="459" spans="1:11" x14ac:dyDescent="0.3">
      <c r="A459">
        <v>543</v>
      </c>
      <c r="B459" t="s">
        <v>64</v>
      </c>
      <c r="C459" t="s">
        <v>11</v>
      </c>
      <c r="D459">
        <v>0.26600000000000001</v>
      </c>
      <c r="E459">
        <v>18</v>
      </c>
      <c r="F459" t="s">
        <v>62</v>
      </c>
      <c r="G459">
        <v>48.161906000000002</v>
      </c>
      <c r="H459">
        <v>11.490434</v>
      </c>
      <c r="I459" t="s">
        <v>61</v>
      </c>
      <c r="J459" s="12">
        <v>45384</v>
      </c>
      <c r="K459" t="s">
        <v>12</v>
      </c>
    </row>
    <row r="460" spans="1:11" x14ac:dyDescent="0.3">
      <c r="A460">
        <v>544</v>
      </c>
      <c r="B460" t="s">
        <v>64</v>
      </c>
      <c r="C460" t="s">
        <v>11</v>
      </c>
      <c r="D460">
        <v>0.28299999999999997</v>
      </c>
      <c r="E460">
        <v>21</v>
      </c>
      <c r="F460" t="s">
        <v>59</v>
      </c>
      <c r="G460">
        <v>49.562323999999997</v>
      </c>
      <c r="H460">
        <v>11.092212</v>
      </c>
      <c r="I460" t="s">
        <v>61</v>
      </c>
      <c r="J460" s="12">
        <v>45384</v>
      </c>
      <c r="K460" t="s">
        <v>12</v>
      </c>
    </row>
    <row r="461" spans="1:11" x14ac:dyDescent="0.3">
      <c r="A461">
        <v>545</v>
      </c>
      <c r="B461" t="s">
        <v>64</v>
      </c>
      <c r="C461" t="s">
        <v>11</v>
      </c>
      <c r="D461">
        <v>0.30499999999999999</v>
      </c>
      <c r="E461">
        <v>18</v>
      </c>
      <c r="F461" t="s">
        <v>62</v>
      </c>
      <c r="G461">
        <v>49.561973000000002</v>
      </c>
      <c r="H461">
        <v>11.086554</v>
      </c>
      <c r="I461" t="s">
        <v>61</v>
      </c>
      <c r="J461" s="12">
        <v>45384</v>
      </c>
      <c r="K461" t="s">
        <v>12</v>
      </c>
    </row>
    <row r="462" spans="1:11" x14ac:dyDescent="0.3">
      <c r="A462">
        <v>546</v>
      </c>
      <c r="B462" t="s">
        <v>64</v>
      </c>
      <c r="C462" t="s">
        <v>17</v>
      </c>
      <c r="D462">
        <v>0.28199999999999997</v>
      </c>
      <c r="E462">
        <v>18</v>
      </c>
      <c r="F462" t="s">
        <v>59</v>
      </c>
      <c r="G462">
        <v>47.781754999999997</v>
      </c>
      <c r="H462">
        <v>14.385083</v>
      </c>
      <c r="I462" t="s">
        <v>61</v>
      </c>
      <c r="J462" s="12">
        <v>45384</v>
      </c>
      <c r="K462" t="s">
        <v>12</v>
      </c>
    </row>
    <row r="463" spans="1:11" x14ac:dyDescent="0.3">
      <c r="A463">
        <v>547</v>
      </c>
      <c r="B463" t="s">
        <v>64</v>
      </c>
      <c r="C463" t="s">
        <v>11</v>
      </c>
      <c r="D463">
        <v>0.318</v>
      </c>
      <c r="E463">
        <v>18</v>
      </c>
      <c r="F463" t="s">
        <v>59</v>
      </c>
      <c r="G463">
        <v>49.557527</v>
      </c>
      <c r="H463">
        <v>11.089447</v>
      </c>
      <c r="I463" t="s">
        <v>61</v>
      </c>
      <c r="J463" s="12">
        <v>45384</v>
      </c>
      <c r="K463" t="s">
        <v>12</v>
      </c>
    </row>
    <row r="464" spans="1:11" x14ac:dyDescent="0.3">
      <c r="A464">
        <v>548</v>
      </c>
      <c r="B464" t="s">
        <v>63</v>
      </c>
      <c r="C464" t="s">
        <v>13</v>
      </c>
      <c r="D464">
        <v>27</v>
      </c>
      <c r="E464">
        <v>94</v>
      </c>
      <c r="F464" t="s">
        <v>62</v>
      </c>
      <c r="G464">
        <v>48.411163000000002</v>
      </c>
      <c r="H464">
        <v>18.864362</v>
      </c>
      <c r="I464" t="s">
        <v>61</v>
      </c>
      <c r="J464" s="12">
        <v>45384</v>
      </c>
      <c r="K464" t="s">
        <v>14</v>
      </c>
    </row>
    <row r="465" spans="1:11" x14ac:dyDescent="0.3">
      <c r="A465">
        <v>549</v>
      </c>
      <c r="B465" t="s">
        <v>64</v>
      </c>
      <c r="C465" t="s">
        <v>13</v>
      </c>
      <c r="D465">
        <v>0.33900000000000002</v>
      </c>
      <c r="E465">
        <v>20</v>
      </c>
      <c r="F465" t="s">
        <v>59</v>
      </c>
      <c r="G465">
        <v>48.410770999999997</v>
      </c>
      <c r="H465">
        <v>18.865888000000002</v>
      </c>
      <c r="I465" t="s">
        <v>61</v>
      </c>
      <c r="J465" s="12">
        <v>45384</v>
      </c>
      <c r="K465" t="s">
        <v>14</v>
      </c>
    </row>
    <row r="466" spans="1:11" x14ac:dyDescent="0.3">
      <c r="A466">
        <v>550</v>
      </c>
      <c r="B466" t="s">
        <v>64</v>
      </c>
      <c r="C466" t="s">
        <v>13</v>
      </c>
      <c r="D466">
        <v>0.30199999999999999</v>
      </c>
      <c r="E466">
        <v>19</v>
      </c>
      <c r="F466" t="s">
        <v>59</v>
      </c>
      <c r="G466">
        <v>48.410201000000001</v>
      </c>
      <c r="H466">
        <v>18.862513</v>
      </c>
      <c r="I466" t="s">
        <v>61</v>
      </c>
      <c r="J466" s="12">
        <v>45384</v>
      </c>
      <c r="K466" t="s">
        <v>14</v>
      </c>
    </row>
    <row r="467" spans="1:11" x14ac:dyDescent="0.3">
      <c r="A467">
        <v>551</v>
      </c>
      <c r="B467" t="s">
        <v>64</v>
      </c>
      <c r="C467" t="s">
        <v>13</v>
      </c>
      <c r="D467">
        <v>0.27600000000000002</v>
      </c>
      <c r="E467">
        <v>19</v>
      </c>
      <c r="F467" t="s">
        <v>59</v>
      </c>
      <c r="G467">
        <v>48.408110999999998</v>
      </c>
      <c r="H467">
        <v>18.865646000000002</v>
      </c>
      <c r="I467" t="s">
        <v>61</v>
      </c>
      <c r="J467" s="12">
        <v>45384</v>
      </c>
      <c r="K467" t="s">
        <v>14</v>
      </c>
    </row>
    <row r="468" spans="1:11" x14ac:dyDescent="0.3">
      <c r="A468">
        <v>552</v>
      </c>
      <c r="B468" t="s">
        <v>64</v>
      </c>
      <c r="C468" t="s">
        <v>13</v>
      </c>
      <c r="D468">
        <v>0.252</v>
      </c>
      <c r="E468">
        <v>19</v>
      </c>
      <c r="F468" t="s">
        <v>62</v>
      </c>
      <c r="G468">
        <v>48.410932000000003</v>
      </c>
      <c r="H468">
        <v>18.861704</v>
      </c>
      <c r="I468" t="s">
        <v>61</v>
      </c>
      <c r="J468" s="12">
        <v>45384</v>
      </c>
      <c r="K468" t="s">
        <v>14</v>
      </c>
    </row>
    <row r="469" spans="1:11" x14ac:dyDescent="0.3">
      <c r="A469">
        <v>553</v>
      </c>
      <c r="B469" t="s">
        <v>64</v>
      </c>
      <c r="C469" t="s">
        <v>13</v>
      </c>
      <c r="D469">
        <v>0.29299999999999998</v>
      </c>
      <c r="E469">
        <v>19</v>
      </c>
      <c r="F469" t="s">
        <v>59</v>
      </c>
      <c r="G469">
        <v>48.227614000000003</v>
      </c>
      <c r="H469">
        <v>17.072903</v>
      </c>
      <c r="I469" t="s">
        <v>61</v>
      </c>
      <c r="J469" s="12">
        <v>45384</v>
      </c>
      <c r="K469" t="s">
        <v>14</v>
      </c>
    </row>
    <row r="470" spans="1:11" x14ac:dyDescent="0.3">
      <c r="A470">
        <v>559</v>
      </c>
      <c r="B470" t="s">
        <v>64</v>
      </c>
      <c r="C470" t="s">
        <v>7</v>
      </c>
      <c r="D470">
        <v>0.28599999999999998</v>
      </c>
      <c r="E470">
        <v>18</v>
      </c>
      <c r="F470" t="s">
        <v>59</v>
      </c>
      <c r="G470">
        <v>47.50826</v>
      </c>
      <c r="H470">
        <v>18.948349</v>
      </c>
      <c r="I470" t="s">
        <v>61</v>
      </c>
      <c r="J470" s="12">
        <v>45385</v>
      </c>
      <c r="K470" t="s">
        <v>6</v>
      </c>
    </row>
    <row r="471" spans="1:11" x14ac:dyDescent="0.3">
      <c r="A471">
        <v>560</v>
      </c>
      <c r="B471" t="s">
        <v>65</v>
      </c>
      <c r="C471" t="s">
        <v>11</v>
      </c>
      <c r="D471">
        <v>1.2</v>
      </c>
      <c r="E471">
        <v>22</v>
      </c>
      <c r="F471" t="s">
        <v>59</v>
      </c>
      <c r="G471">
        <v>49.551211000000002</v>
      </c>
      <c r="H471">
        <v>11.077661000000001</v>
      </c>
      <c r="I471" t="s">
        <v>61</v>
      </c>
      <c r="J471" s="12">
        <v>45385</v>
      </c>
      <c r="K471" t="s">
        <v>12</v>
      </c>
    </row>
    <row r="472" spans="1:11" x14ac:dyDescent="0.3">
      <c r="A472">
        <v>561</v>
      </c>
      <c r="B472" t="s">
        <v>65</v>
      </c>
      <c r="C472" t="s">
        <v>11</v>
      </c>
      <c r="D472">
        <v>0.9</v>
      </c>
      <c r="E472">
        <v>23</v>
      </c>
      <c r="F472" t="s">
        <v>62</v>
      </c>
      <c r="G472">
        <v>49.562582999999997</v>
      </c>
      <c r="H472">
        <v>11.082312</v>
      </c>
      <c r="I472" t="s">
        <v>61</v>
      </c>
      <c r="J472" s="12">
        <v>45385</v>
      </c>
      <c r="K472" t="s">
        <v>12</v>
      </c>
    </row>
    <row r="473" spans="1:11" x14ac:dyDescent="0.3">
      <c r="A473">
        <v>562</v>
      </c>
      <c r="B473" t="s">
        <v>65</v>
      </c>
      <c r="C473" t="s">
        <v>11</v>
      </c>
      <c r="D473">
        <v>0.7</v>
      </c>
      <c r="E473">
        <v>23</v>
      </c>
      <c r="F473" t="s">
        <v>62</v>
      </c>
      <c r="G473">
        <v>49.547597000000003</v>
      </c>
      <c r="H473">
        <v>11.079679</v>
      </c>
      <c r="I473" t="s">
        <v>61</v>
      </c>
      <c r="J473" s="12">
        <v>45385</v>
      </c>
      <c r="K473" t="s">
        <v>12</v>
      </c>
    </row>
    <row r="474" spans="1:11" x14ac:dyDescent="0.3">
      <c r="A474">
        <v>564</v>
      </c>
      <c r="B474" t="s">
        <v>65</v>
      </c>
      <c r="C474" t="s">
        <v>13</v>
      </c>
      <c r="D474">
        <v>1.2</v>
      </c>
      <c r="E474">
        <v>26</v>
      </c>
      <c r="F474" t="s">
        <v>59</v>
      </c>
      <c r="G474">
        <v>48.409120000000001</v>
      </c>
      <c r="H474">
        <v>18.869274000000001</v>
      </c>
      <c r="I474" t="s">
        <v>61</v>
      </c>
      <c r="J474" s="12">
        <v>45385</v>
      </c>
      <c r="K474" t="s">
        <v>14</v>
      </c>
    </row>
    <row r="475" spans="1:11" x14ac:dyDescent="0.3">
      <c r="A475">
        <v>565</v>
      </c>
      <c r="B475" t="s">
        <v>64</v>
      </c>
      <c r="C475" t="s">
        <v>15</v>
      </c>
      <c r="D475">
        <v>0.25800000000000001</v>
      </c>
      <c r="E475">
        <v>21</v>
      </c>
      <c r="F475" t="s">
        <v>62</v>
      </c>
      <c r="G475">
        <v>49.938786999999998</v>
      </c>
      <c r="H475">
        <v>14.178284</v>
      </c>
      <c r="I475" t="s">
        <v>61</v>
      </c>
      <c r="J475" s="12">
        <v>45385</v>
      </c>
      <c r="K475" t="s">
        <v>14</v>
      </c>
    </row>
    <row r="476" spans="1:11" x14ac:dyDescent="0.3">
      <c r="A476">
        <v>567</v>
      </c>
      <c r="B476" t="s">
        <v>58</v>
      </c>
      <c r="C476" t="s">
        <v>4</v>
      </c>
      <c r="D476">
        <v>1000</v>
      </c>
      <c r="E476">
        <v>295</v>
      </c>
      <c r="F476" t="s">
        <v>59</v>
      </c>
      <c r="G476">
        <v>52.809542999999998</v>
      </c>
      <c r="H476">
        <v>23.708563999999999</v>
      </c>
      <c r="I476" t="s">
        <v>61</v>
      </c>
      <c r="J476" s="12">
        <v>45386</v>
      </c>
      <c r="K476" t="s">
        <v>6</v>
      </c>
    </row>
    <row r="477" spans="1:11" x14ac:dyDescent="0.3">
      <c r="A477">
        <v>568</v>
      </c>
      <c r="B477" t="s">
        <v>65</v>
      </c>
      <c r="C477" t="s">
        <v>7</v>
      </c>
      <c r="D477">
        <v>0.7</v>
      </c>
      <c r="E477">
        <v>23</v>
      </c>
      <c r="F477" t="s">
        <v>62</v>
      </c>
      <c r="G477">
        <v>47.508516</v>
      </c>
      <c r="H477">
        <v>18.949428999999999</v>
      </c>
      <c r="I477" t="s">
        <v>61</v>
      </c>
      <c r="J477" s="12">
        <v>45386</v>
      </c>
      <c r="K477" t="s">
        <v>6</v>
      </c>
    </row>
    <row r="478" spans="1:11" x14ac:dyDescent="0.3">
      <c r="A478">
        <v>569</v>
      </c>
      <c r="B478" t="s">
        <v>65</v>
      </c>
      <c r="C478" t="s">
        <v>7</v>
      </c>
      <c r="D478">
        <v>1.2</v>
      </c>
      <c r="E478">
        <v>24</v>
      </c>
      <c r="F478" t="s">
        <v>59</v>
      </c>
      <c r="G478">
        <v>47.508941</v>
      </c>
      <c r="H478">
        <v>18.948915</v>
      </c>
      <c r="I478" t="s">
        <v>61</v>
      </c>
      <c r="J478" s="12">
        <v>45386</v>
      </c>
      <c r="K478" t="s">
        <v>6</v>
      </c>
    </row>
    <row r="479" spans="1:11" x14ac:dyDescent="0.3">
      <c r="A479">
        <v>570</v>
      </c>
      <c r="B479" t="s">
        <v>64</v>
      </c>
      <c r="C479" t="s">
        <v>4</v>
      </c>
      <c r="D479">
        <v>0.33700000000000002</v>
      </c>
      <c r="E479">
        <v>22</v>
      </c>
      <c r="F479" t="s">
        <v>62</v>
      </c>
      <c r="G479">
        <v>50.041818999999997</v>
      </c>
      <c r="H479">
        <v>19.951542</v>
      </c>
      <c r="I479" t="s">
        <v>61</v>
      </c>
      <c r="J479" s="12">
        <v>45386</v>
      </c>
      <c r="K479" t="s">
        <v>6</v>
      </c>
    </row>
    <row r="480" spans="1:11" x14ac:dyDescent="0.3">
      <c r="A480">
        <v>571</v>
      </c>
      <c r="B480" t="s">
        <v>64</v>
      </c>
      <c r="C480" t="s">
        <v>4</v>
      </c>
      <c r="D480">
        <v>0.27200000000000002</v>
      </c>
      <c r="E480">
        <v>23</v>
      </c>
      <c r="F480" t="s">
        <v>62</v>
      </c>
      <c r="G480">
        <v>50.041800000000002</v>
      </c>
      <c r="H480">
        <v>19.950244000000001</v>
      </c>
      <c r="I480" t="s">
        <v>61</v>
      </c>
      <c r="J480" s="12">
        <v>45386</v>
      </c>
      <c r="K480" t="s">
        <v>6</v>
      </c>
    </row>
    <row r="481" spans="1:11" x14ac:dyDescent="0.3">
      <c r="A481">
        <v>572</v>
      </c>
      <c r="B481" t="s">
        <v>64</v>
      </c>
      <c r="C481" t="s">
        <v>7</v>
      </c>
      <c r="D481">
        <v>0.26200000000000001</v>
      </c>
      <c r="E481">
        <v>22</v>
      </c>
      <c r="F481" t="s">
        <v>59</v>
      </c>
      <c r="G481">
        <v>47.508904999999999</v>
      </c>
      <c r="H481">
        <v>18.946570000000001</v>
      </c>
      <c r="I481" t="s">
        <v>61</v>
      </c>
      <c r="J481" s="12">
        <v>45386</v>
      </c>
      <c r="K481" t="s">
        <v>6</v>
      </c>
    </row>
    <row r="482" spans="1:11" x14ac:dyDescent="0.3">
      <c r="A482">
        <v>576</v>
      </c>
      <c r="B482" t="s">
        <v>58</v>
      </c>
      <c r="C482" t="s">
        <v>4</v>
      </c>
      <c r="D482">
        <v>557</v>
      </c>
      <c r="E482">
        <v>255</v>
      </c>
      <c r="F482" t="s">
        <v>62</v>
      </c>
      <c r="G482">
        <v>52.811203999999996</v>
      </c>
      <c r="H482">
        <v>23.697814000000001</v>
      </c>
      <c r="I482" t="s">
        <v>61</v>
      </c>
      <c r="J482" s="12">
        <v>45387</v>
      </c>
      <c r="K482" t="s">
        <v>6</v>
      </c>
    </row>
    <row r="483" spans="1:11" x14ac:dyDescent="0.3">
      <c r="A483">
        <v>577</v>
      </c>
      <c r="B483" t="s">
        <v>65</v>
      </c>
      <c r="C483" t="s">
        <v>7</v>
      </c>
      <c r="D483">
        <v>0.8</v>
      </c>
      <c r="E483">
        <v>17</v>
      </c>
      <c r="F483" t="s">
        <v>62</v>
      </c>
      <c r="G483">
        <v>47.507072999999998</v>
      </c>
      <c r="H483">
        <v>18.947873000000001</v>
      </c>
      <c r="I483" t="s">
        <v>61</v>
      </c>
      <c r="J483" s="12">
        <v>45387</v>
      </c>
      <c r="K483" t="s">
        <v>6</v>
      </c>
    </row>
    <row r="484" spans="1:11" x14ac:dyDescent="0.3">
      <c r="A484">
        <v>578</v>
      </c>
      <c r="B484" t="s">
        <v>65</v>
      </c>
      <c r="C484" t="s">
        <v>17</v>
      </c>
      <c r="D484">
        <v>0.9</v>
      </c>
      <c r="E484">
        <v>22</v>
      </c>
      <c r="F484" t="s">
        <v>62</v>
      </c>
      <c r="G484">
        <v>47.31758</v>
      </c>
      <c r="H484">
        <v>11.187606000000001</v>
      </c>
      <c r="I484" t="s">
        <v>61</v>
      </c>
      <c r="J484" s="12">
        <v>45387</v>
      </c>
      <c r="K484" t="s">
        <v>12</v>
      </c>
    </row>
    <row r="485" spans="1:11" x14ac:dyDescent="0.3">
      <c r="A485">
        <v>579</v>
      </c>
      <c r="B485" t="s">
        <v>65</v>
      </c>
      <c r="C485" t="s">
        <v>17</v>
      </c>
      <c r="D485">
        <v>0.8</v>
      </c>
      <c r="E485">
        <v>16</v>
      </c>
      <c r="F485" t="s">
        <v>59</v>
      </c>
      <c r="G485">
        <v>47.319470000000003</v>
      </c>
      <c r="H485">
        <v>11.18573</v>
      </c>
      <c r="I485" t="s">
        <v>61</v>
      </c>
      <c r="J485" s="12">
        <v>45387</v>
      </c>
      <c r="K485" t="s">
        <v>12</v>
      </c>
    </row>
    <row r="486" spans="1:11" x14ac:dyDescent="0.3">
      <c r="A486">
        <v>580</v>
      </c>
      <c r="B486" t="s">
        <v>65</v>
      </c>
      <c r="C486" t="s">
        <v>17</v>
      </c>
      <c r="D486">
        <v>0.7</v>
      </c>
      <c r="E486">
        <v>18</v>
      </c>
      <c r="F486" t="s">
        <v>59</v>
      </c>
      <c r="G486">
        <v>47.319811999999999</v>
      </c>
      <c r="H486">
        <v>11.18479</v>
      </c>
      <c r="I486" t="s">
        <v>61</v>
      </c>
      <c r="J486" s="12">
        <v>45387</v>
      </c>
      <c r="K486" t="s">
        <v>12</v>
      </c>
    </row>
    <row r="487" spans="1:11" x14ac:dyDescent="0.3">
      <c r="A487">
        <v>581</v>
      </c>
      <c r="B487" t="s">
        <v>65</v>
      </c>
      <c r="C487" t="s">
        <v>17</v>
      </c>
      <c r="D487">
        <v>0.8</v>
      </c>
      <c r="E487">
        <v>20</v>
      </c>
      <c r="F487" t="s">
        <v>62</v>
      </c>
      <c r="G487">
        <v>47.316383000000002</v>
      </c>
      <c r="H487">
        <v>11.188381</v>
      </c>
      <c r="I487" t="s">
        <v>61</v>
      </c>
      <c r="J487" s="12">
        <v>45387</v>
      </c>
      <c r="K487" t="s">
        <v>12</v>
      </c>
    </row>
    <row r="488" spans="1:11" x14ac:dyDescent="0.3">
      <c r="A488">
        <v>582</v>
      </c>
      <c r="B488" t="s">
        <v>64</v>
      </c>
      <c r="C488" t="s">
        <v>17</v>
      </c>
      <c r="D488">
        <v>0.29899999999999999</v>
      </c>
      <c r="E488">
        <v>20</v>
      </c>
      <c r="F488" t="s">
        <v>62</v>
      </c>
      <c r="G488">
        <v>47.781131000000002</v>
      </c>
      <c r="H488">
        <v>14.382206999999999</v>
      </c>
      <c r="I488" t="s">
        <v>61</v>
      </c>
      <c r="J488" s="12">
        <v>45387</v>
      </c>
      <c r="K488" t="s">
        <v>12</v>
      </c>
    </row>
    <row r="489" spans="1:11" x14ac:dyDescent="0.3">
      <c r="A489">
        <v>583</v>
      </c>
      <c r="B489" t="s">
        <v>64</v>
      </c>
      <c r="C489" t="s">
        <v>17</v>
      </c>
      <c r="D489">
        <v>0.26600000000000001</v>
      </c>
      <c r="E489">
        <v>20</v>
      </c>
      <c r="F489" t="s">
        <v>62</v>
      </c>
      <c r="G489">
        <v>47.781632000000002</v>
      </c>
      <c r="H489">
        <v>14.382365</v>
      </c>
      <c r="I489" t="s">
        <v>61</v>
      </c>
      <c r="J489" s="12">
        <v>45387</v>
      </c>
      <c r="K489" t="s">
        <v>12</v>
      </c>
    </row>
    <row r="490" spans="1:11" x14ac:dyDescent="0.3">
      <c r="A490">
        <v>584</v>
      </c>
      <c r="B490" t="s">
        <v>64</v>
      </c>
      <c r="C490" t="s">
        <v>17</v>
      </c>
      <c r="D490">
        <v>0.308</v>
      </c>
      <c r="E490">
        <v>18</v>
      </c>
      <c r="F490" t="s">
        <v>59</v>
      </c>
      <c r="G490">
        <v>47.780904</v>
      </c>
      <c r="H490">
        <v>14.385669</v>
      </c>
      <c r="I490" t="s">
        <v>61</v>
      </c>
      <c r="J490" s="12">
        <v>45387</v>
      </c>
      <c r="K490" t="s">
        <v>12</v>
      </c>
    </row>
    <row r="491" spans="1:11" x14ac:dyDescent="0.3">
      <c r="A491">
        <v>585</v>
      </c>
      <c r="B491" t="s">
        <v>64</v>
      </c>
      <c r="C491" t="s">
        <v>17</v>
      </c>
      <c r="D491">
        <v>0.26400000000000001</v>
      </c>
      <c r="E491">
        <v>22</v>
      </c>
      <c r="F491" t="s">
        <v>59</v>
      </c>
      <c r="G491">
        <v>47.781089000000001</v>
      </c>
      <c r="H491">
        <v>14.385211</v>
      </c>
      <c r="I491" t="s">
        <v>61</v>
      </c>
      <c r="J491" s="12">
        <v>45387</v>
      </c>
      <c r="K491" t="s">
        <v>12</v>
      </c>
    </row>
    <row r="492" spans="1:11" x14ac:dyDescent="0.3">
      <c r="A492">
        <v>586</v>
      </c>
      <c r="B492" t="s">
        <v>64</v>
      </c>
      <c r="C492" t="s">
        <v>17</v>
      </c>
      <c r="D492">
        <v>0.32200000000000001</v>
      </c>
      <c r="E492">
        <v>20</v>
      </c>
      <c r="F492" t="s">
        <v>59</v>
      </c>
      <c r="G492">
        <v>47.781332999999997</v>
      </c>
      <c r="H492">
        <v>14.382547000000001</v>
      </c>
      <c r="I492" t="s">
        <v>61</v>
      </c>
      <c r="J492" s="12">
        <v>45387</v>
      </c>
      <c r="K492" t="s">
        <v>12</v>
      </c>
    </row>
    <row r="493" spans="1:11" x14ac:dyDescent="0.3">
      <c r="A493">
        <v>587</v>
      </c>
      <c r="B493" t="s">
        <v>64</v>
      </c>
      <c r="C493" t="s">
        <v>17</v>
      </c>
      <c r="D493">
        <v>0.33200000000000002</v>
      </c>
      <c r="E493">
        <v>18</v>
      </c>
      <c r="F493" t="s">
        <v>62</v>
      </c>
      <c r="G493">
        <v>47.780926999999998</v>
      </c>
      <c r="H493">
        <v>14.382187999999999</v>
      </c>
      <c r="I493" t="s">
        <v>61</v>
      </c>
      <c r="J493" s="12">
        <v>45387</v>
      </c>
      <c r="K493" t="s">
        <v>12</v>
      </c>
    </row>
    <row r="494" spans="1:11" x14ac:dyDescent="0.3">
      <c r="A494">
        <v>588</v>
      </c>
      <c r="B494" t="s">
        <v>64</v>
      </c>
      <c r="C494" t="s">
        <v>17</v>
      </c>
      <c r="D494">
        <v>0.253</v>
      </c>
      <c r="E494">
        <v>21</v>
      </c>
      <c r="F494" t="s">
        <v>59</v>
      </c>
      <c r="G494">
        <v>47.856031999999999</v>
      </c>
      <c r="H494">
        <v>15.076768</v>
      </c>
      <c r="I494" t="s">
        <v>61</v>
      </c>
      <c r="J494" s="12">
        <v>45387</v>
      </c>
      <c r="K494" t="s">
        <v>12</v>
      </c>
    </row>
    <row r="495" spans="1:11" x14ac:dyDescent="0.3">
      <c r="A495">
        <v>589</v>
      </c>
      <c r="B495" t="s">
        <v>64</v>
      </c>
      <c r="C495" t="s">
        <v>11</v>
      </c>
      <c r="D495">
        <v>0.317</v>
      </c>
      <c r="E495">
        <v>20</v>
      </c>
      <c r="F495" t="s">
        <v>62</v>
      </c>
      <c r="G495">
        <v>49.545912999999999</v>
      </c>
      <c r="H495">
        <v>11.081051</v>
      </c>
      <c r="I495" t="s">
        <v>61</v>
      </c>
      <c r="J495" s="12">
        <v>45387</v>
      </c>
      <c r="K495" t="s">
        <v>12</v>
      </c>
    </row>
    <row r="496" spans="1:11" x14ac:dyDescent="0.3">
      <c r="A496">
        <v>590</v>
      </c>
      <c r="B496" t="s">
        <v>64</v>
      </c>
      <c r="C496" t="s">
        <v>11</v>
      </c>
      <c r="D496">
        <v>0.32700000000000001</v>
      </c>
      <c r="E496">
        <v>20</v>
      </c>
      <c r="F496" t="s">
        <v>59</v>
      </c>
      <c r="G496">
        <v>49.550427999999997</v>
      </c>
      <c r="H496">
        <v>11.077659000000001</v>
      </c>
      <c r="I496" t="s">
        <v>61</v>
      </c>
      <c r="J496" s="12">
        <v>45387</v>
      </c>
      <c r="K496" t="s">
        <v>12</v>
      </c>
    </row>
    <row r="497" spans="1:11" x14ac:dyDescent="0.3">
      <c r="A497">
        <v>591</v>
      </c>
      <c r="B497" t="s">
        <v>64</v>
      </c>
      <c r="C497" t="s">
        <v>11</v>
      </c>
      <c r="D497">
        <v>0.255</v>
      </c>
      <c r="E497">
        <v>19</v>
      </c>
      <c r="F497" t="s">
        <v>62</v>
      </c>
      <c r="G497">
        <v>49.558869000000001</v>
      </c>
      <c r="H497">
        <v>11.076638000000001</v>
      </c>
      <c r="I497" t="s">
        <v>61</v>
      </c>
      <c r="J497" s="12">
        <v>45387</v>
      </c>
      <c r="K497" t="s">
        <v>12</v>
      </c>
    </row>
    <row r="498" spans="1:11" x14ac:dyDescent="0.3">
      <c r="A498">
        <v>592</v>
      </c>
      <c r="B498" t="s">
        <v>65</v>
      </c>
      <c r="C498" t="s">
        <v>13</v>
      </c>
      <c r="D498">
        <v>0.8</v>
      </c>
      <c r="E498">
        <v>21</v>
      </c>
      <c r="F498" t="s">
        <v>62</v>
      </c>
      <c r="G498">
        <v>48.412407999999999</v>
      </c>
      <c r="H498">
        <v>18.869074000000001</v>
      </c>
      <c r="I498" t="s">
        <v>61</v>
      </c>
      <c r="J498" s="12">
        <v>45387</v>
      </c>
      <c r="K498" t="s">
        <v>14</v>
      </c>
    </row>
    <row r="499" spans="1:11" x14ac:dyDescent="0.3">
      <c r="A499">
        <v>593</v>
      </c>
      <c r="B499" t="s">
        <v>63</v>
      </c>
      <c r="C499" t="s">
        <v>15</v>
      </c>
      <c r="D499">
        <v>15</v>
      </c>
      <c r="E499">
        <v>70</v>
      </c>
      <c r="F499" t="s">
        <v>59</v>
      </c>
      <c r="G499">
        <v>50.883893999999998</v>
      </c>
      <c r="H499">
        <v>14.372363999999999</v>
      </c>
      <c r="I499" t="s">
        <v>61</v>
      </c>
      <c r="J499" s="12">
        <v>45387</v>
      </c>
      <c r="K499" t="s">
        <v>14</v>
      </c>
    </row>
    <row r="500" spans="1:11" x14ac:dyDescent="0.3">
      <c r="A500">
        <v>594</v>
      </c>
      <c r="B500" t="s">
        <v>64</v>
      </c>
      <c r="C500" t="s">
        <v>13</v>
      </c>
      <c r="D500">
        <v>0.3</v>
      </c>
      <c r="E500">
        <v>19</v>
      </c>
      <c r="F500" t="s">
        <v>62</v>
      </c>
      <c r="G500">
        <v>48.229837000000003</v>
      </c>
      <c r="H500">
        <v>17.089217999999999</v>
      </c>
      <c r="I500" t="s">
        <v>61</v>
      </c>
      <c r="J500" s="12">
        <v>45387</v>
      </c>
      <c r="K500" t="s">
        <v>14</v>
      </c>
    </row>
    <row r="501" spans="1:11" x14ac:dyDescent="0.3">
      <c r="A501">
        <v>595</v>
      </c>
      <c r="B501" t="s">
        <v>58</v>
      </c>
      <c r="C501" t="s">
        <v>4</v>
      </c>
      <c r="D501">
        <v>589</v>
      </c>
      <c r="E501">
        <v>279</v>
      </c>
      <c r="F501" t="s">
        <v>62</v>
      </c>
      <c r="G501">
        <v>52.808703999999999</v>
      </c>
      <c r="H501">
        <v>23.705504000000001</v>
      </c>
      <c r="I501" t="s">
        <v>61</v>
      </c>
      <c r="J501" s="12">
        <v>45388</v>
      </c>
      <c r="K501" t="s">
        <v>6</v>
      </c>
    </row>
    <row r="502" spans="1:11" x14ac:dyDescent="0.3">
      <c r="A502">
        <v>596</v>
      </c>
      <c r="B502" t="s">
        <v>65</v>
      </c>
      <c r="C502" t="s">
        <v>7</v>
      </c>
      <c r="D502">
        <v>0.7</v>
      </c>
      <c r="E502">
        <v>16</v>
      </c>
      <c r="F502" t="s">
        <v>62</v>
      </c>
      <c r="G502">
        <v>47.510230999999997</v>
      </c>
      <c r="H502">
        <v>18.940041999999998</v>
      </c>
      <c r="I502" t="s">
        <v>61</v>
      </c>
      <c r="J502" s="12">
        <v>45388</v>
      </c>
      <c r="K502" t="s">
        <v>6</v>
      </c>
    </row>
    <row r="503" spans="1:11" x14ac:dyDescent="0.3">
      <c r="A503">
        <v>597</v>
      </c>
      <c r="B503" t="s">
        <v>65</v>
      </c>
      <c r="C503" t="s">
        <v>7</v>
      </c>
      <c r="D503">
        <v>0.8</v>
      </c>
      <c r="E503">
        <v>14</v>
      </c>
      <c r="F503" t="s">
        <v>62</v>
      </c>
      <c r="G503">
        <v>47.509073000000001</v>
      </c>
      <c r="H503">
        <v>18.946838</v>
      </c>
      <c r="I503" t="s">
        <v>61</v>
      </c>
      <c r="J503" s="12">
        <v>45388</v>
      </c>
      <c r="K503" t="s">
        <v>6</v>
      </c>
    </row>
    <row r="504" spans="1:11" x14ac:dyDescent="0.3">
      <c r="A504">
        <v>598</v>
      </c>
      <c r="B504" t="s">
        <v>64</v>
      </c>
      <c r="C504" t="s">
        <v>4</v>
      </c>
      <c r="D504">
        <v>0.34799999999999998</v>
      </c>
      <c r="E504">
        <v>23</v>
      </c>
      <c r="F504" t="s">
        <v>59</v>
      </c>
      <c r="G504">
        <v>50.041252</v>
      </c>
      <c r="H504">
        <v>19.950033000000001</v>
      </c>
      <c r="I504" t="s">
        <v>61</v>
      </c>
      <c r="J504" s="12">
        <v>45388</v>
      </c>
      <c r="K504" t="s">
        <v>6</v>
      </c>
    </row>
    <row r="505" spans="1:11" x14ac:dyDescent="0.3">
      <c r="A505">
        <v>599</v>
      </c>
      <c r="B505" t="s">
        <v>64</v>
      </c>
      <c r="C505" t="s">
        <v>17</v>
      </c>
      <c r="D505">
        <v>0.29399999999999998</v>
      </c>
      <c r="E505">
        <v>22</v>
      </c>
      <c r="F505" t="s">
        <v>59</v>
      </c>
      <c r="G505">
        <v>47.855007000000001</v>
      </c>
      <c r="H505">
        <v>15.076539</v>
      </c>
      <c r="I505" t="s">
        <v>61</v>
      </c>
      <c r="J505" s="12">
        <v>45388</v>
      </c>
      <c r="K505" t="s">
        <v>12</v>
      </c>
    </row>
    <row r="506" spans="1:11" x14ac:dyDescent="0.3">
      <c r="A506">
        <v>600</v>
      </c>
      <c r="B506" t="s">
        <v>64</v>
      </c>
      <c r="C506" t="s">
        <v>11</v>
      </c>
      <c r="D506">
        <v>0.29899999999999999</v>
      </c>
      <c r="E506">
        <v>19</v>
      </c>
      <c r="F506" t="s">
        <v>59</v>
      </c>
      <c r="I506" t="s">
        <v>61</v>
      </c>
      <c r="J506" s="12">
        <v>45388</v>
      </c>
      <c r="K506" t="s">
        <v>12</v>
      </c>
    </row>
    <row r="507" spans="1:11" x14ac:dyDescent="0.3">
      <c r="A507">
        <v>601</v>
      </c>
      <c r="B507" t="s">
        <v>64</v>
      </c>
      <c r="C507" t="s">
        <v>11</v>
      </c>
      <c r="D507">
        <v>0.314</v>
      </c>
      <c r="E507">
        <v>19</v>
      </c>
      <c r="F507" t="s">
        <v>62</v>
      </c>
      <c r="I507" t="s">
        <v>61</v>
      </c>
      <c r="J507" s="12">
        <v>45388</v>
      </c>
      <c r="K507" t="s">
        <v>12</v>
      </c>
    </row>
    <row r="508" spans="1:11" x14ac:dyDescent="0.3">
      <c r="A508">
        <v>602</v>
      </c>
      <c r="B508" t="s">
        <v>64</v>
      </c>
      <c r="C508" t="s">
        <v>11</v>
      </c>
      <c r="D508">
        <v>0.29699999999999999</v>
      </c>
      <c r="E508">
        <v>20</v>
      </c>
      <c r="F508" t="s">
        <v>59</v>
      </c>
      <c r="I508" t="s">
        <v>61</v>
      </c>
      <c r="J508" s="12">
        <v>45388</v>
      </c>
      <c r="K508" t="s">
        <v>12</v>
      </c>
    </row>
    <row r="509" spans="1:11" x14ac:dyDescent="0.3">
      <c r="A509">
        <v>603</v>
      </c>
      <c r="B509" t="s">
        <v>64</v>
      </c>
      <c r="C509" t="s">
        <v>11</v>
      </c>
      <c r="D509">
        <v>0.29799999999999999</v>
      </c>
      <c r="E509">
        <v>21</v>
      </c>
      <c r="F509" t="s">
        <v>59</v>
      </c>
      <c r="I509" t="s">
        <v>61</v>
      </c>
      <c r="J509" s="12">
        <v>45388</v>
      </c>
      <c r="K509" t="s">
        <v>12</v>
      </c>
    </row>
    <row r="510" spans="1:11" x14ac:dyDescent="0.3">
      <c r="A510">
        <v>604</v>
      </c>
      <c r="B510" t="s">
        <v>64</v>
      </c>
      <c r="C510" t="s">
        <v>11</v>
      </c>
      <c r="D510">
        <v>0.30099999999999999</v>
      </c>
      <c r="E510">
        <v>19</v>
      </c>
      <c r="F510" t="s">
        <v>59</v>
      </c>
      <c r="I510" t="s">
        <v>61</v>
      </c>
      <c r="J510" s="12">
        <v>45388</v>
      </c>
      <c r="K510" t="s">
        <v>12</v>
      </c>
    </row>
    <row r="511" spans="1:11" x14ac:dyDescent="0.3">
      <c r="A511">
        <v>605</v>
      </c>
      <c r="B511" t="s">
        <v>64</v>
      </c>
      <c r="C511" t="s">
        <v>11</v>
      </c>
      <c r="D511">
        <v>0.26700000000000002</v>
      </c>
      <c r="E511">
        <v>20</v>
      </c>
      <c r="F511" t="s">
        <v>62</v>
      </c>
      <c r="I511" t="s">
        <v>61</v>
      </c>
      <c r="J511" s="12">
        <v>45388</v>
      </c>
      <c r="K511" t="s">
        <v>12</v>
      </c>
    </row>
    <row r="512" spans="1:11" x14ac:dyDescent="0.3">
      <c r="A512">
        <v>606</v>
      </c>
      <c r="B512" t="s">
        <v>64</v>
      </c>
      <c r="C512" t="s">
        <v>11</v>
      </c>
      <c r="D512">
        <v>0.315</v>
      </c>
      <c r="E512">
        <v>21</v>
      </c>
      <c r="F512" t="s">
        <v>59</v>
      </c>
      <c r="I512" t="s">
        <v>61</v>
      </c>
      <c r="J512" s="12">
        <v>45388</v>
      </c>
      <c r="K512" t="s">
        <v>12</v>
      </c>
    </row>
    <row r="513" spans="1:11" x14ac:dyDescent="0.3">
      <c r="A513">
        <v>607</v>
      </c>
      <c r="B513" t="s">
        <v>64</v>
      </c>
      <c r="C513" t="s">
        <v>11</v>
      </c>
      <c r="D513">
        <v>0.3</v>
      </c>
      <c r="E513">
        <v>21</v>
      </c>
      <c r="F513" t="s">
        <v>62</v>
      </c>
      <c r="I513" t="s">
        <v>61</v>
      </c>
      <c r="J513" s="12">
        <v>45388</v>
      </c>
      <c r="K513" t="s">
        <v>12</v>
      </c>
    </row>
    <row r="514" spans="1:11" x14ac:dyDescent="0.3">
      <c r="A514">
        <v>608</v>
      </c>
      <c r="B514" t="s">
        <v>64</v>
      </c>
      <c r="C514" t="s">
        <v>11</v>
      </c>
      <c r="D514">
        <v>0.3</v>
      </c>
      <c r="E514">
        <v>21</v>
      </c>
      <c r="F514" t="s">
        <v>59</v>
      </c>
      <c r="I514" t="s">
        <v>61</v>
      </c>
      <c r="J514" s="12">
        <v>45388</v>
      </c>
      <c r="K514" t="s">
        <v>12</v>
      </c>
    </row>
    <row r="515" spans="1:11" x14ac:dyDescent="0.3">
      <c r="A515">
        <v>609</v>
      </c>
      <c r="B515" t="s">
        <v>64</v>
      </c>
      <c r="C515" t="s">
        <v>11</v>
      </c>
      <c r="D515">
        <v>0.26400000000000001</v>
      </c>
      <c r="E515">
        <v>22</v>
      </c>
      <c r="F515" t="s">
        <v>62</v>
      </c>
      <c r="I515" t="s">
        <v>61</v>
      </c>
      <c r="J515" s="12">
        <v>45388</v>
      </c>
      <c r="K515" t="s">
        <v>12</v>
      </c>
    </row>
    <row r="516" spans="1:11" x14ac:dyDescent="0.3">
      <c r="A516">
        <v>610</v>
      </c>
      <c r="B516" t="s">
        <v>64</v>
      </c>
      <c r="C516" t="s">
        <v>11</v>
      </c>
      <c r="D516">
        <v>0.251</v>
      </c>
      <c r="E516">
        <v>21</v>
      </c>
      <c r="F516" t="s">
        <v>59</v>
      </c>
      <c r="I516" t="s">
        <v>61</v>
      </c>
      <c r="J516" s="12">
        <v>45388</v>
      </c>
      <c r="K516" t="s">
        <v>12</v>
      </c>
    </row>
    <row r="517" spans="1:11" x14ac:dyDescent="0.3">
      <c r="A517">
        <v>611</v>
      </c>
      <c r="B517" t="s">
        <v>64</v>
      </c>
      <c r="C517" t="s">
        <v>11</v>
      </c>
      <c r="D517">
        <v>0.30199999999999999</v>
      </c>
      <c r="E517">
        <v>22</v>
      </c>
      <c r="F517" t="s">
        <v>62</v>
      </c>
      <c r="I517" t="s">
        <v>61</v>
      </c>
      <c r="J517" s="12">
        <v>45388</v>
      </c>
      <c r="K517" t="s">
        <v>12</v>
      </c>
    </row>
    <row r="518" spans="1:11" x14ac:dyDescent="0.3">
      <c r="A518">
        <v>612</v>
      </c>
      <c r="B518" t="s">
        <v>64</v>
      </c>
      <c r="C518" t="s">
        <v>11</v>
      </c>
      <c r="D518">
        <v>0.26200000000000001</v>
      </c>
      <c r="E518">
        <v>22</v>
      </c>
      <c r="F518" t="s">
        <v>62</v>
      </c>
      <c r="I518" t="s">
        <v>61</v>
      </c>
      <c r="J518" s="12">
        <v>45388</v>
      </c>
      <c r="K518" t="s">
        <v>12</v>
      </c>
    </row>
    <row r="519" spans="1:11" x14ac:dyDescent="0.3">
      <c r="A519">
        <v>613</v>
      </c>
      <c r="B519" t="s">
        <v>64</v>
      </c>
      <c r="C519" t="s">
        <v>11</v>
      </c>
      <c r="D519">
        <v>0.30099999999999999</v>
      </c>
      <c r="E519">
        <v>20</v>
      </c>
      <c r="F519" t="s">
        <v>59</v>
      </c>
      <c r="I519" t="s">
        <v>61</v>
      </c>
      <c r="J519" s="12">
        <v>45388</v>
      </c>
      <c r="K519" t="s">
        <v>12</v>
      </c>
    </row>
    <row r="520" spans="1:11" x14ac:dyDescent="0.3">
      <c r="A520">
        <v>614</v>
      </c>
      <c r="B520" t="s">
        <v>64</v>
      </c>
      <c r="C520" t="s">
        <v>11</v>
      </c>
      <c r="D520">
        <v>0.24299999999999999</v>
      </c>
      <c r="E520">
        <v>19</v>
      </c>
      <c r="F520" t="s">
        <v>59</v>
      </c>
      <c r="I520" t="s">
        <v>61</v>
      </c>
      <c r="J520" s="12">
        <v>45388</v>
      </c>
      <c r="K520" t="s">
        <v>12</v>
      </c>
    </row>
    <row r="521" spans="1:11" x14ac:dyDescent="0.3">
      <c r="A521">
        <v>615</v>
      </c>
      <c r="B521" t="s">
        <v>64</v>
      </c>
      <c r="C521" t="s">
        <v>11</v>
      </c>
      <c r="D521">
        <v>0.314</v>
      </c>
      <c r="E521">
        <v>20</v>
      </c>
      <c r="F521" t="s">
        <v>59</v>
      </c>
      <c r="I521" t="s">
        <v>61</v>
      </c>
      <c r="J521" s="12">
        <v>45388</v>
      </c>
      <c r="K521" t="s">
        <v>12</v>
      </c>
    </row>
    <row r="522" spans="1:11" x14ac:dyDescent="0.3">
      <c r="A522">
        <v>616</v>
      </c>
      <c r="B522" t="s">
        <v>64</v>
      </c>
      <c r="C522" t="s">
        <v>11</v>
      </c>
      <c r="D522">
        <v>0.24399999999999999</v>
      </c>
      <c r="E522">
        <v>20</v>
      </c>
      <c r="F522" t="s">
        <v>59</v>
      </c>
      <c r="I522" t="s">
        <v>61</v>
      </c>
      <c r="J522" s="12">
        <v>45388</v>
      </c>
      <c r="K522" t="s">
        <v>12</v>
      </c>
    </row>
    <row r="523" spans="1:11" x14ac:dyDescent="0.3">
      <c r="A523">
        <v>617</v>
      </c>
      <c r="B523" t="s">
        <v>64</v>
      </c>
      <c r="C523" t="s">
        <v>11</v>
      </c>
      <c r="D523">
        <v>0.25</v>
      </c>
      <c r="E523">
        <v>22</v>
      </c>
      <c r="F523" t="s">
        <v>59</v>
      </c>
      <c r="I523" t="s">
        <v>61</v>
      </c>
      <c r="J523" s="12">
        <v>45388</v>
      </c>
      <c r="K523" t="s">
        <v>12</v>
      </c>
    </row>
    <row r="524" spans="1:11" x14ac:dyDescent="0.3">
      <c r="A524">
        <v>618</v>
      </c>
      <c r="B524" t="s">
        <v>64</v>
      </c>
      <c r="C524" t="s">
        <v>11</v>
      </c>
      <c r="D524">
        <v>0.27200000000000002</v>
      </c>
      <c r="E524">
        <v>20</v>
      </c>
      <c r="F524" t="s">
        <v>59</v>
      </c>
      <c r="I524" t="s">
        <v>61</v>
      </c>
      <c r="J524" s="12">
        <v>45388</v>
      </c>
      <c r="K524" t="s">
        <v>12</v>
      </c>
    </row>
    <row r="525" spans="1:11" x14ac:dyDescent="0.3">
      <c r="A525">
        <v>619</v>
      </c>
      <c r="B525" t="s">
        <v>64</v>
      </c>
      <c r="C525" t="s">
        <v>11</v>
      </c>
      <c r="D525">
        <v>0.28899999999999998</v>
      </c>
      <c r="E525">
        <v>20</v>
      </c>
      <c r="F525" t="s">
        <v>59</v>
      </c>
      <c r="I525" t="s">
        <v>61</v>
      </c>
      <c r="J525" s="12">
        <v>45388</v>
      </c>
      <c r="K525" t="s">
        <v>12</v>
      </c>
    </row>
    <row r="526" spans="1:11" x14ac:dyDescent="0.3">
      <c r="A526">
        <v>620</v>
      </c>
      <c r="B526" t="s">
        <v>64</v>
      </c>
      <c r="C526" t="s">
        <v>11</v>
      </c>
      <c r="D526">
        <v>0.315</v>
      </c>
      <c r="E526">
        <v>20</v>
      </c>
      <c r="F526" t="s">
        <v>59</v>
      </c>
      <c r="I526" t="s">
        <v>61</v>
      </c>
      <c r="J526" s="12">
        <v>45388</v>
      </c>
      <c r="K526" t="s">
        <v>12</v>
      </c>
    </row>
    <row r="527" spans="1:11" x14ac:dyDescent="0.3">
      <c r="A527">
        <v>621</v>
      </c>
      <c r="B527" t="s">
        <v>64</v>
      </c>
      <c r="C527" t="s">
        <v>11</v>
      </c>
      <c r="D527">
        <v>0.30399999999999999</v>
      </c>
      <c r="E527">
        <v>21</v>
      </c>
      <c r="F527" t="s">
        <v>59</v>
      </c>
      <c r="I527" t="s">
        <v>61</v>
      </c>
      <c r="J527" s="12">
        <v>45388</v>
      </c>
      <c r="K527" t="s">
        <v>12</v>
      </c>
    </row>
    <row r="528" spans="1:11" x14ac:dyDescent="0.3">
      <c r="A528">
        <v>622</v>
      </c>
      <c r="B528" t="s">
        <v>64</v>
      </c>
      <c r="C528" t="s">
        <v>11</v>
      </c>
      <c r="D528">
        <v>0.24099999999999999</v>
      </c>
      <c r="E528">
        <v>19</v>
      </c>
      <c r="F528" t="s">
        <v>59</v>
      </c>
      <c r="I528" t="s">
        <v>61</v>
      </c>
      <c r="J528" s="12">
        <v>45388</v>
      </c>
      <c r="K528" t="s">
        <v>12</v>
      </c>
    </row>
    <row r="529" spans="1:11" x14ac:dyDescent="0.3">
      <c r="A529">
        <v>623</v>
      </c>
      <c r="B529" t="s">
        <v>64</v>
      </c>
      <c r="C529" t="s">
        <v>11</v>
      </c>
      <c r="D529">
        <v>0.248</v>
      </c>
      <c r="E529">
        <v>22</v>
      </c>
      <c r="F529" t="s">
        <v>59</v>
      </c>
      <c r="I529" t="s">
        <v>61</v>
      </c>
      <c r="J529" s="12">
        <v>45388</v>
      </c>
      <c r="K529" t="s">
        <v>12</v>
      </c>
    </row>
    <row r="530" spans="1:11" x14ac:dyDescent="0.3">
      <c r="A530">
        <v>625</v>
      </c>
      <c r="B530" t="s">
        <v>64</v>
      </c>
      <c r="C530" t="s">
        <v>11</v>
      </c>
      <c r="D530">
        <v>0.28999999999999998</v>
      </c>
      <c r="E530">
        <v>21</v>
      </c>
      <c r="F530" t="s">
        <v>59</v>
      </c>
      <c r="I530" t="s">
        <v>61</v>
      </c>
      <c r="J530" s="12">
        <v>45388</v>
      </c>
      <c r="K530" t="s">
        <v>12</v>
      </c>
    </row>
    <row r="531" spans="1:11" x14ac:dyDescent="0.3">
      <c r="A531">
        <v>626</v>
      </c>
      <c r="B531" t="s">
        <v>64</v>
      </c>
      <c r="C531" t="s">
        <v>17</v>
      </c>
      <c r="D531">
        <v>0.31900000000000001</v>
      </c>
      <c r="E531">
        <v>20</v>
      </c>
      <c r="F531" t="s">
        <v>59</v>
      </c>
      <c r="I531" t="s">
        <v>61</v>
      </c>
      <c r="J531" s="12">
        <v>45388</v>
      </c>
      <c r="K531" t="s">
        <v>12</v>
      </c>
    </row>
    <row r="532" spans="1:11" x14ac:dyDescent="0.3">
      <c r="A532">
        <v>627</v>
      </c>
      <c r="B532" t="s">
        <v>64</v>
      </c>
      <c r="C532" t="s">
        <v>17</v>
      </c>
      <c r="D532">
        <v>0.29199999999999998</v>
      </c>
      <c r="E532">
        <v>19</v>
      </c>
      <c r="F532" t="s">
        <v>62</v>
      </c>
      <c r="I532" t="s">
        <v>61</v>
      </c>
      <c r="J532" s="12">
        <v>45388</v>
      </c>
      <c r="K532" t="s">
        <v>12</v>
      </c>
    </row>
    <row r="533" spans="1:11" x14ac:dyDescent="0.3">
      <c r="A533">
        <v>628</v>
      </c>
      <c r="B533" t="s">
        <v>64</v>
      </c>
      <c r="C533" t="s">
        <v>17</v>
      </c>
      <c r="D533">
        <v>0.31900000000000001</v>
      </c>
      <c r="E533">
        <v>19</v>
      </c>
      <c r="F533" t="s">
        <v>62</v>
      </c>
      <c r="I533" t="s">
        <v>61</v>
      </c>
      <c r="J533" s="12">
        <v>45388</v>
      </c>
      <c r="K533" t="s">
        <v>12</v>
      </c>
    </row>
    <row r="534" spans="1:11" x14ac:dyDescent="0.3">
      <c r="A534">
        <v>629</v>
      </c>
      <c r="B534" t="s">
        <v>64</v>
      </c>
      <c r="C534" t="s">
        <v>17</v>
      </c>
      <c r="D534">
        <v>0.29799999999999999</v>
      </c>
      <c r="E534">
        <v>20</v>
      </c>
      <c r="F534" t="s">
        <v>59</v>
      </c>
      <c r="I534" t="s">
        <v>61</v>
      </c>
      <c r="J534" s="12">
        <v>45388</v>
      </c>
      <c r="K534" t="s">
        <v>12</v>
      </c>
    </row>
    <row r="535" spans="1:11" x14ac:dyDescent="0.3">
      <c r="A535">
        <v>630</v>
      </c>
      <c r="B535" t="s">
        <v>64</v>
      </c>
      <c r="C535" t="s">
        <v>17</v>
      </c>
      <c r="D535">
        <v>0.255</v>
      </c>
      <c r="E535">
        <v>22</v>
      </c>
      <c r="F535" t="s">
        <v>59</v>
      </c>
      <c r="I535" t="s">
        <v>61</v>
      </c>
      <c r="J535" s="12">
        <v>45388</v>
      </c>
      <c r="K535" t="s">
        <v>12</v>
      </c>
    </row>
    <row r="536" spans="1:11" x14ac:dyDescent="0.3">
      <c r="A536">
        <v>631</v>
      </c>
      <c r="B536" t="s">
        <v>64</v>
      </c>
      <c r="C536" t="s">
        <v>17</v>
      </c>
      <c r="D536">
        <v>0.3</v>
      </c>
      <c r="E536">
        <v>20</v>
      </c>
      <c r="F536" t="s">
        <v>59</v>
      </c>
      <c r="I536" t="s">
        <v>61</v>
      </c>
      <c r="J536" s="12">
        <v>45388</v>
      </c>
      <c r="K536" t="s">
        <v>12</v>
      </c>
    </row>
    <row r="537" spans="1:11" x14ac:dyDescent="0.3">
      <c r="A537">
        <v>632</v>
      </c>
      <c r="B537" t="s">
        <v>64</v>
      </c>
      <c r="C537" t="s">
        <v>17</v>
      </c>
      <c r="D537">
        <v>0.252</v>
      </c>
      <c r="E537">
        <v>21</v>
      </c>
      <c r="F537" t="s">
        <v>59</v>
      </c>
      <c r="I537" t="s">
        <v>61</v>
      </c>
      <c r="J537" s="12">
        <v>45388</v>
      </c>
      <c r="K537" t="s">
        <v>12</v>
      </c>
    </row>
    <row r="538" spans="1:11" x14ac:dyDescent="0.3">
      <c r="A538">
        <v>633</v>
      </c>
      <c r="B538" t="s">
        <v>65</v>
      </c>
      <c r="C538" t="s">
        <v>13</v>
      </c>
      <c r="D538">
        <v>0.8</v>
      </c>
      <c r="E538">
        <v>17</v>
      </c>
      <c r="F538" t="s">
        <v>59</v>
      </c>
      <c r="G538">
        <v>48.409644999999998</v>
      </c>
      <c r="H538">
        <v>18.872415</v>
      </c>
      <c r="I538" t="s">
        <v>61</v>
      </c>
      <c r="J538" s="12">
        <v>45388</v>
      </c>
      <c r="K538" t="s">
        <v>14</v>
      </c>
    </row>
    <row r="539" spans="1:11" x14ac:dyDescent="0.3">
      <c r="A539">
        <v>634</v>
      </c>
      <c r="B539" t="s">
        <v>63</v>
      </c>
      <c r="C539" t="s">
        <v>15</v>
      </c>
      <c r="D539">
        <v>26</v>
      </c>
      <c r="E539">
        <v>88</v>
      </c>
      <c r="F539" t="s">
        <v>62</v>
      </c>
      <c r="G539">
        <v>50.883881000000002</v>
      </c>
      <c r="H539">
        <v>14.373018</v>
      </c>
      <c r="I539" t="s">
        <v>61</v>
      </c>
      <c r="J539" s="12">
        <v>45388</v>
      </c>
      <c r="K539" t="s">
        <v>14</v>
      </c>
    </row>
    <row r="540" spans="1:11" x14ac:dyDescent="0.3">
      <c r="A540">
        <v>635</v>
      </c>
      <c r="B540" t="s">
        <v>64</v>
      </c>
      <c r="C540" t="s">
        <v>15</v>
      </c>
      <c r="D540">
        <v>0.316</v>
      </c>
      <c r="E540">
        <v>23</v>
      </c>
      <c r="F540" t="s">
        <v>62</v>
      </c>
      <c r="G540">
        <v>49.939309999999999</v>
      </c>
      <c r="H540">
        <v>14.181266000000001</v>
      </c>
      <c r="I540" t="s">
        <v>61</v>
      </c>
      <c r="J540" s="12">
        <v>45388</v>
      </c>
      <c r="K540" t="s">
        <v>14</v>
      </c>
    </row>
    <row r="541" spans="1:11" x14ac:dyDescent="0.3">
      <c r="A541">
        <v>636</v>
      </c>
      <c r="B541" t="s">
        <v>64</v>
      </c>
      <c r="C541" t="s">
        <v>15</v>
      </c>
      <c r="D541">
        <v>0.32700000000000001</v>
      </c>
      <c r="E541">
        <v>21</v>
      </c>
      <c r="F541" t="s">
        <v>59</v>
      </c>
      <c r="G541">
        <v>49.938616000000003</v>
      </c>
      <c r="H541">
        <v>14.181291</v>
      </c>
      <c r="I541" t="s">
        <v>61</v>
      </c>
      <c r="J541" s="12">
        <v>45388</v>
      </c>
      <c r="K541" t="s">
        <v>14</v>
      </c>
    </row>
    <row r="542" spans="1:11" x14ac:dyDescent="0.3">
      <c r="A542">
        <v>637</v>
      </c>
      <c r="B542" t="s">
        <v>64</v>
      </c>
      <c r="C542" t="s">
        <v>15</v>
      </c>
      <c r="D542">
        <v>0.28799999999999998</v>
      </c>
      <c r="E542">
        <v>18</v>
      </c>
      <c r="F542" t="s">
        <v>59</v>
      </c>
      <c r="G542">
        <v>49.937838999999997</v>
      </c>
      <c r="H542">
        <v>14.179074999999999</v>
      </c>
      <c r="I542" t="s">
        <v>61</v>
      </c>
      <c r="J542" s="12">
        <v>45388</v>
      </c>
      <c r="K542" t="s">
        <v>14</v>
      </c>
    </row>
    <row r="543" spans="1:11" x14ac:dyDescent="0.3">
      <c r="A543">
        <v>638</v>
      </c>
      <c r="B543" t="s">
        <v>64</v>
      </c>
      <c r="C543" t="s">
        <v>15</v>
      </c>
      <c r="D543">
        <v>0.313</v>
      </c>
      <c r="E543">
        <v>22</v>
      </c>
      <c r="F543" t="s">
        <v>62</v>
      </c>
      <c r="G543">
        <v>49.939307999999997</v>
      </c>
      <c r="H543">
        <v>14.180747</v>
      </c>
      <c r="I543" t="s">
        <v>61</v>
      </c>
      <c r="J543" s="12">
        <v>45388</v>
      </c>
      <c r="K543" t="s">
        <v>14</v>
      </c>
    </row>
    <row r="544" spans="1:11" x14ac:dyDescent="0.3">
      <c r="A544">
        <v>640</v>
      </c>
      <c r="B544" t="s">
        <v>58</v>
      </c>
      <c r="C544" t="s">
        <v>4</v>
      </c>
      <c r="D544">
        <v>1100</v>
      </c>
      <c r="E544">
        <v>350</v>
      </c>
      <c r="F544" t="s">
        <v>59</v>
      </c>
      <c r="G544">
        <v>52.803316000000002</v>
      </c>
      <c r="H544">
        <v>23.686301</v>
      </c>
      <c r="I544" t="s">
        <v>61</v>
      </c>
      <c r="J544" s="12">
        <v>45389</v>
      </c>
      <c r="K544" t="s">
        <v>6</v>
      </c>
    </row>
    <row r="545" spans="1:11" x14ac:dyDescent="0.3">
      <c r="A545">
        <v>641</v>
      </c>
      <c r="B545" t="s">
        <v>65</v>
      </c>
      <c r="C545" t="s">
        <v>7</v>
      </c>
      <c r="D545">
        <v>0.9</v>
      </c>
      <c r="E545">
        <v>16</v>
      </c>
      <c r="F545" t="s">
        <v>62</v>
      </c>
      <c r="G545">
        <v>47.506638000000002</v>
      </c>
      <c r="H545">
        <v>18.940090999999999</v>
      </c>
      <c r="I545" t="s">
        <v>61</v>
      </c>
      <c r="J545" s="12">
        <v>45389</v>
      </c>
      <c r="K545" t="s">
        <v>6</v>
      </c>
    </row>
    <row r="546" spans="1:11" x14ac:dyDescent="0.3">
      <c r="A546">
        <v>642</v>
      </c>
      <c r="B546" t="s">
        <v>63</v>
      </c>
      <c r="C546" t="s">
        <v>4</v>
      </c>
      <c r="D546">
        <v>23</v>
      </c>
      <c r="E546">
        <v>73</v>
      </c>
      <c r="F546" t="s">
        <v>59</v>
      </c>
      <c r="G546">
        <v>52.823016000000003</v>
      </c>
      <c r="H546">
        <v>23.812286</v>
      </c>
      <c r="I546" t="s">
        <v>61</v>
      </c>
      <c r="J546" s="12">
        <v>45389</v>
      </c>
      <c r="K546" t="s">
        <v>6</v>
      </c>
    </row>
    <row r="547" spans="1:11" x14ac:dyDescent="0.3">
      <c r="A547">
        <v>643</v>
      </c>
      <c r="B547" t="s">
        <v>64</v>
      </c>
      <c r="C547" t="s">
        <v>7</v>
      </c>
      <c r="D547">
        <v>0.31900000000000001</v>
      </c>
      <c r="E547">
        <v>18</v>
      </c>
      <c r="F547" t="s">
        <v>59</v>
      </c>
      <c r="G547">
        <v>47.508665000000001</v>
      </c>
      <c r="H547">
        <v>18.940456000000001</v>
      </c>
      <c r="I547" t="s">
        <v>61</v>
      </c>
      <c r="J547" s="12">
        <v>45389</v>
      </c>
      <c r="K547" t="s">
        <v>6</v>
      </c>
    </row>
    <row r="548" spans="1:11" x14ac:dyDescent="0.3">
      <c r="A548">
        <v>644</v>
      </c>
      <c r="B548" t="s">
        <v>64</v>
      </c>
      <c r="C548" t="s">
        <v>7</v>
      </c>
      <c r="D548">
        <v>0.28000000000000003</v>
      </c>
      <c r="E548">
        <v>21</v>
      </c>
      <c r="F548" t="s">
        <v>62</v>
      </c>
      <c r="G548">
        <v>47.510978000000001</v>
      </c>
      <c r="H548">
        <v>18.942962999999999</v>
      </c>
      <c r="I548" t="s">
        <v>61</v>
      </c>
      <c r="J548" s="12">
        <v>45389</v>
      </c>
      <c r="K548" t="s">
        <v>6</v>
      </c>
    </row>
    <row r="549" spans="1:11" x14ac:dyDescent="0.3">
      <c r="A549">
        <v>645</v>
      </c>
      <c r="B549" t="s">
        <v>64</v>
      </c>
      <c r="C549" t="s">
        <v>17</v>
      </c>
      <c r="D549">
        <v>0.26400000000000001</v>
      </c>
      <c r="E549">
        <v>22</v>
      </c>
      <c r="F549" t="s">
        <v>62</v>
      </c>
      <c r="G549">
        <v>47.857585999999998</v>
      </c>
      <c r="H549">
        <v>15.081327999999999</v>
      </c>
      <c r="I549" t="s">
        <v>61</v>
      </c>
      <c r="J549" s="12">
        <v>45389</v>
      </c>
      <c r="K549" t="s">
        <v>12</v>
      </c>
    </row>
    <row r="550" spans="1:11" x14ac:dyDescent="0.3">
      <c r="A550">
        <v>646</v>
      </c>
      <c r="B550" t="s">
        <v>64</v>
      </c>
      <c r="C550" t="s">
        <v>17</v>
      </c>
      <c r="D550">
        <v>0.33400000000000002</v>
      </c>
      <c r="E550">
        <v>19</v>
      </c>
      <c r="F550" t="s">
        <v>59</v>
      </c>
      <c r="G550">
        <v>47.856971000000001</v>
      </c>
      <c r="H550">
        <v>15.078984</v>
      </c>
      <c r="I550" t="s">
        <v>61</v>
      </c>
      <c r="J550" s="12">
        <v>45389</v>
      </c>
      <c r="K550" t="s">
        <v>12</v>
      </c>
    </row>
    <row r="551" spans="1:11" x14ac:dyDescent="0.3">
      <c r="A551">
        <v>647</v>
      </c>
      <c r="B551" t="s">
        <v>64</v>
      </c>
      <c r="C551" t="s">
        <v>17</v>
      </c>
      <c r="D551">
        <v>0.27800000000000002</v>
      </c>
      <c r="E551">
        <v>21</v>
      </c>
      <c r="F551" t="s">
        <v>59</v>
      </c>
      <c r="G551">
        <v>47.856769</v>
      </c>
      <c r="H551">
        <v>15.076411</v>
      </c>
      <c r="I551" t="s">
        <v>61</v>
      </c>
      <c r="J551" s="12">
        <v>45389</v>
      </c>
      <c r="K551" t="s">
        <v>12</v>
      </c>
    </row>
    <row r="552" spans="1:11" x14ac:dyDescent="0.3">
      <c r="A552">
        <v>648</v>
      </c>
      <c r="B552" t="s">
        <v>64</v>
      </c>
      <c r="C552" t="s">
        <v>17</v>
      </c>
      <c r="D552">
        <v>0.33300000000000002</v>
      </c>
      <c r="E552">
        <v>22</v>
      </c>
      <c r="F552" t="s">
        <v>62</v>
      </c>
      <c r="G552">
        <v>47.855378999999999</v>
      </c>
      <c r="H552">
        <v>15.077237</v>
      </c>
      <c r="I552" t="s">
        <v>16</v>
      </c>
      <c r="J552" s="12">
        <v>45389</v>
      </c>
      <c r="K552" t="s">
        <v>12</v>
      </c>
    </row>
    <row r="553" spans="1:11" x14ac:dyDescent="0.3">
      <c r="A553">
        <v>649</v>
      </c>
      <c r="B553" t="s">
        <v>64</v>
      </c>
      <c r="C553" t="s">
        <v>17</v>
      </c>
      <c r="D553">
        <v>0.32300000000000001</v>
      </c>
      <c r="E553">
        <v>23</v>
      </c>
      <c r="F553" t="s">
        <v>59</v>
      </c>
      <c r="G553">
        <v>47.856014999999999</v>
      </c>
      <c r="H553">
        <v>15.08325</v>
      </c>
      <c r="I553" t="s">
        <v>61</v>
      </c>
      <c r="J553" s="12">
        <v>45389</v>
      </c>
      <c r="K553" t="s">
        <v>12</v>
      </c>
    </row>
    <row r="554" spans="1:11" x14ac:dyDescent="0.3">
      <c r="A554">
        <v>650</v>
      </c>
      <c r="B554" t="s">
        <v>65</v>
      </c>
      <c r="C554" t="s">
        <v>13</v>
      </c>
      <c r="D554">
        <v>1.1000000000000001</v>
      </c>
      <c r="E554">
        <v>16</v>
      </c>
      <c r="F554" t="s">
        <v>62</v>
      </c>
      <c r="G554">
        <v>48.413153999999999</v>
      </c>
      <c r="H554">
        <v>18.875356</v>
      </c>
      <c r="I554" t="s">
        <v>61</v>
      </c>
      <c r="J554" s="12">
        <v>45389</v>
      </c>
      <c r="K554" t="s">
        <v>14</v>
      </c>
    </row>
    <row r="555" spans="1:11" x14ac:dyDescent="0.3">
      <c r="A555">
        <v>653</v>
      </c>
      <c r="B555" t="s">
        <v>64</v>
      </c>
      <c r="C555" t="s">
        <v>4</v>
      </c>
      <c r="D555">
        <v>0.26500000000000001</v>
      </c>
      <c r="E555">
        <v>22</v>
      </c>
      <c r="F555" t="s">
        <v>62</v>
      </c>
      <c r="G555">
        <v>50.041147000000002</v>
      </c>
      <c r="H555">
        <v>19.95046</v>
      </c>
      <c r="I555" t="s">
        <v>61</v>
      </c>
      <c r="J555" s="12">
        <v>45390</v>
      </c>
      <c r="K555" t="s">
        <v>6</v>
      </c>
    </row>
    <row r="556" spans="1:11" x14ac:dyDescent="0.3">
      <c r="A556">
        <v>654</v>
      </c>
      <c r="B556" t="s">
        <v>64</v>
      </c>
      <c r="C556" t="s">
        <v>17</v>
      </c>
      <c r="D556">
        <v>0.27</v>
      </c>
      <c r="E556">
        <v>23</v>
      </c>
      <c r="F556" t="s">
        <v>62</v>
      </c>
      <c r="G556">
        <v>47.853881000000001</v>
      </c>
      <c r="H556">
        <v>15.078367</v>
      </c>
      <c r="I556" t="s">
        <v>61</v>
      </c>
      <c r="J556" s="12">
        <v>45390</v>
      </c>
      <c r="K556" t="s">
        <v>12</v>
      </c>
    </row>
    <row r="557" spans="1:11" x14ac:dyDescent="0.3">
      <c r="A557">
        <v>655</v>
      </c>
      <c r="B557" t="s">
        <v>64</v>
      </c>
      <c r="C557" t="s">
        <v>17</v>
      </c>
      <c r="D557">
        <v>0.29899999999999999</v>
      </c>
      <c r="E557">
        <v>19</v>
      </c>
      <c r="F557" t="s">
        <v>62</v>
      </c>
      <c r="G557">
        <v>47.854855000000001</v>
      </c>
      <c r="H557">
        <v>15.082167999999999</v>
      </c>
      <c r="I557" t="s">
        <v>21</v>
      </c>
      <c r="J557" s="12">
        <v>45390</v>
      </c>
      <c r="K557" t="s">
        <v>12</v>
      </c>
    </row>
    <row r="558" spans="1:11" x14ac:dyDescent="0.3">
      <c r="A558">
        <v>656</v>
      </c>
      <c r="B558" t="s">
        <v>64</v>
      </c>
      <c r="C558" t="s">
        <v>17</v>
      </c>
      <c r="D558">
        <v>0.3</v>
      </c>
      <c r="E558">
        <v>21</v>
      </c>
      <c r="F558" t="s">
        <v>59</v>
      </c>
      <c r="G558">
        <v>47.855215999999999</v>
      </c>
      <c r="H558">
        <v>15.078877</v>
      </c>
      <c r="I558" t="s">
        <v>61</v>
      </c>
      <c r="J558" s="12">
        <v>45390</v>
      </c>
      <c r="K558" t="s">
        <v>12</v>
      </c>
    </row>
    <row r="559" spans="1:11" x14ac:dyDescent="0.3">
      <c r="A559">
        <v>657</v>
      </c>
      <c r="B559" t="s">
        <v>64</v>
      </c>
      <c r="C559" t="s">
        <v>17</v>
      </c>
      <c r="D559">
        <v>0.33800000000000002</v>
      </c>
      <c r="E559">
        <v>19</v>
      </c>
      <c r="F559" t="s">
        <v>59</v>
      </c>
      <c r="G559">
        <v>47.857495</v>
      </c>
      <c r="H559">
        <v>15.078950000000001</v>
      </c>
      <c r="I559" t="s">
        <v>61</v>
      </c>
      <c r="J559" s="12">
        <v>45390</v>
      </c>
      <c r="K559" t="s">
        <v>12</v>
      </c>
    </row>
    <row r="560" spans="1:11" x14ac:dyDescent="0.3">
      <c r="A560">
        <v>658</v>
      </c>
      <c r="B560" t="s">
        <v>64</v>
      </c>
      <c r="C560" t="s">
        <v>17</v>
      </c>
      <c r="D560">
        <v>0.28499999999999998</v>
      </c>
      <c r="E560">
        <v>21</v>
      </c>
      <c r="F560" t="s">
        <v>62</v>
      </c>
      <c r="G560">
        <v>47.853875000000002</v>
      </c>
      <c r="H560">
        <v>15.078745</v>
      </c>
      <c r="I560" t="s">
        <v>61</v>
      </c>
      <c r="J560" s="12">
        <v>45390</v>
      </c>
      <c r="K560" t="s">
        <v>12</v>
      </c>
    </row>
    <row r="561" spans="1:11" x14ac:dyDescent="0.3">
      <c r="A561">
        <v>659</v>
      </c>
      <c r="B561" t="s">
        <v>64</v>
      </c>
      <c r="C561" t="s">
        <v>17</v>
      </c>
      <c r="D561">
        <v>0.33300000000000002</v>
      </c>
      <c r="E561">
        <v>19</v>
      </c>
      <c r="F561" t="s">
        <v>62</v>
      </c>
      <c r="G561">
        <v>47.854756000000002</v>
      </c>
      <c r="H561">
        <v>15.082891999999999</v>
      </c>
      <c r="I561" t="s">
        <v>21</v>
      </c>
      <c r="J561" s="12">
        <v>45390</v>
      </c>
      <c r="K561" t="s">
        <v>12</v>
      </c>
    </row>
    <row r="562" spans="1:11" x14ac:dyDescent="0.3">
      <c r="A562">
        <v>660</v>
      </c>
      <c r="B562" t="s">
        <v>64</v>
      </c>
      <c r="C562" t="s">
        <v>17</v>
      </c>
      <c r="D562">
        <v>0.32300000000000001</v>
      </c>
      <c r="E562">
        <v>23</v>
      </c>
      <c r="F562" t="s">
        <v>59</v>
      </c>
      <c r="G562">
        <v>47.854098999999998</v>
      </c>
      <c r="H562">
        <v>15.076812</v>
      </c>
      <c r="I562" t="s">
        <v>61</v>
      </c>
      <c r="J562" s="12">
        <v>45390</v>
      </c>
      <c r="K562" t="s">
        <v>12</v>
      </c>
    </row>
    <row r="563" spans="1:11" x14ac:dyDescent="0.3">
      <c r="A563">
        <v>661</v>
      </c>
      <c r="B563" t="s">
        <v>58</v>
      </c>
      <c r="C563" t="s">
        <v>15</v>
      </c>
      <c r="D563">
        <v>560</v>
      </c>
      <c r="E563">
        <v>250</v>
      </c>
      <c r="F563" t="s">
        <v>62</v>
      </c>
      <c r="G563">
        <v>50.645077000000001</v>
      </c>
      <c r="H563">
        <v>14.840304</v>
      </c>
      <c r="I563" t="s">
        <v>61</v>
      </c>
      <c r="J563" s="12">
        <v>45390</v>
      </c>
      <c r="K563" t="s">
        <v>14</v>
      </c>
    </row>
    <row r="564" spans="1:11" x14ac:dyDescent="0.3">
      <c r="A564">
        <v>662</v>
      </c>
      <c r="B564" t="s">
        <v>65</v>
      </c>
      <c r="C564" t="s">
        <v>13</v>
      </c>
      <c r="D564">
        <v>1.1000000000000001</v>
      </c>
      <c r="E564">
        <v>25</v>
      </c>
      <c r="F564" t="s">
        <v>59</v>
      </c>
      <c r="G564">
        <v>48.412590000000002</v>
      </c>
      <c r="H564">
        <v>18.87302</v>
      </c>
      <c r="I564" t="s">
        <v>61</v>
      </c>
      <c r="J564" s="12">
        <v>45390</v>
      </c>
      <c r="K564" t="s">
        <v>14</v>
      </c>
    </row>
    <row r="565" spans="1:11" x14ac:dyDescent="0.3">
      <c r="A565">
        <v>663</v>
      </c>
      <c r="B565" t="s">
        <v>64</v>
      </c>
      <c r="C565" t="s">
        <v>13</v>
      </c>
      <c r="D565">
        <v>0.297366504854368</v>
      </c>
      <c r="E565">
        <v>21</v>
      </c>
      <c r="F565" t="s">
        <v>59</v>
      </c>
      <c r="G565">
        <v>49.057599000000003</v>
      </c>
      <c r="H565">
        <v>22.422203</v>
      </c>
      <c r="I565" t="s">
        <v>61</v>
      </c>
      <c r="J565" s="12">
        <v>45390</v>
      </c>
      <c r="K565" t="s">
        <v>14</v>
      </c>
    </row>
    <row r="566" spans="1:11" x14ac:dyDescent="0.3">
      <c r="A566">
        <v>664</v>
      </c>
      <c r="B566" t="s">
        <v>64</v>
      </c>
      <c r="C566" t="s">
        <v>13</v>
      </c>
      <c r="D566">
        <v>0.26</v>
      </c>
      <c r="E566">
        <v>18</v>
      </c>
      <c r="F566" t="s">
        <v>59</v>
      </c>
      <c r="G566">
        <v>49.053175000000003</v>
      </c>
      <c r="H566">
        <v>22.414666</v>
      </c>
      <c r="I566" t="s">
        <v>61</v>
      </c>
      <c r="J566" s="12">
        <v>45390</v>
      </c>
      <c r="K566" t="s">
        <v>14</v>
      </c>
    </row>
    <row r="567" spans="1:11" x14ac:dyDescent="0.3">
      <c r="A567">
        <v>665</v>
      </c>
      <c r="B567" t="s">
        <v>64</v>
      </c>
      <c r="C567" t="s">
        <v>13</v>
      </c>
      <c r="D567">
        <v>0.32900000000000001</v>
      </c>
      <c r="E567">
        <v>20</v>
      </c>
      <c r="F567" t="s">
        <v>59</v>
      </c>
      <c r="G567">
        <v>49.054662999999998</v>
      </c>
      <c r="H567">
        <v>22.412082000000002</v>
      </c>
      <c r="I567" t="s">
        <v>61</v>
      </c>
      <c r="J567" s="12">
        <v>45390</v>
      </c>
      <c r="K567" t="s">
        <v>14</v>
      </c>
    </row>
    <row r="568" spans="1:11" x14ac:dyDescent="0.3">
      <c r="A568">
        <v>666</v>
      </c>
      <c r="B568" t="s">
        <v>64</v>
      </c>
      <c r="C568" t="s">
        <v>13</v>
      </c>
      <c r="D568">
        <v>0.33</v>
      </c>
      <c r="E568">
        <v>21</v>
      </c>
      <c r="F568" t="s">
        <v>62</v>
      </c>
      <c r="G568">
        <v>49.055275000000002</v>
      </c>
      <c r="H568">
        <v>22.414210000000001</v>
      </c>
      <c r="I568" t="s">
        <v>61</v>
      </c>
      <c r="J568" s="12">
        <v>45390</v>
      </c>
      <c r="K568" t="s">
        <v>14</v>
      </c>
    </row>
    <row r="569" spans="1:11" x14ac:dyDescent="0.3">
      <c r="A569">
        <v>667</v>
      </c>
      <c r="B569" t="s">
        <v>64</v>
      </c>
      <c r="C569" t="s">
        <v>13</v>
      </c>
      <c r="D569">
        <v>0.27100000000000002</v>
      </c>
      <c r="E569">
        <v>23</v>
      </c>
      <c r="F569" t="s">
        <v>59</v>
      </c>
      <c r="G569">
        <v>49.052914000000001</v>
      </c>
      <c r="H569">
        <v>22.422989999999999</v>
      </c>
      <c r="I569" t="s">
        <v>61</v>
      </c>
      <c r="J569" s="12">
        <v>45390</v>
      </c>
      <c r="K569" t="s">
        <v>14</v>
      </c>
    </row>
    <row r="570" spans="1:11" x14ac:dyDescent="0.3">
      <c r="A570">
        <v>668</v>
      </c>
      <c r="B570" t="s">
        <v>64</v>
      </c>
      <c r="C570" t="s">
        <v>13</v>
      </c>
      <c r="D570">
        <v>0.29799999999999999</v>
      </c>
      <c r="E570">
        <v>18</v>
      </c>
      <c r="F570" t="s">
        <v>62</v>
      </c>
      <c r="G570">
        <v>49.055453</v>
      </c>
      <c r="H570">
        <v>22.423535999999999</v>
      </c>
      <c r="I570" t="s">
        <v>61</v>
      </c>
      <c r="J570" s="12">
        <v>45390</v>
      </c>
      <c r="K570" t="s">
        <v>14</v>
      </c>
    </row>
    <row r="571" spans="1:11" x14ac:dyDescent="0.3">
      <c r="A571">
        <v>669</v>
      </c>
      <c r="B571" t="s">
        <v>64</v>
      </c>
      <c r="C571" t="s">
        <v>13</v>
      </c>
      <c r="D571">
        <v>0.28100000000000003</v>
      </c>
      <c r="E571">
        <v>23</v>
      </c>
      <c r="F571" t="s">
        <v>59</v>
      </c>
      <c r="G571">
        <v>49.056583000000003</v>
      </c>
      <c r="H571">
        <v>22.415431999999999</v>
      </c>
      <c r="I571" t="s">
        <v>61</v>
      </c>
      <c r="J571" s="12">
        <v>45390</v>
      </c>
      <c r="K571" t="s">
        <v>14</v>
      </c>
    </row>
    <row r="572" spans="1:11" x14ac:dyDescent="0.3">
      <c r="A572">
        <v>670</v>
      </c>
      <c r="B572" t="s">
        <v>64</v>
      </c>
      <c r="C572" t="s">
        <v>13</v>
      </c>
      <c r="D572">
        <v>0.316</v>
      </c>
      <c r="E572">
        <v>22</v>
      </c>
      <c r="F572" t="s">
        <v>62</v>
      </c>
      <c r="G572">
        <v>49.054586</v>
      </c>
      <c r="H572">
        <v>22.413679999999999</v>
      </c>
      <c r="I572" t="s">
        <v>61</v>
      </c>
      <c r="J572" s="12">
        <v>45390</v>
      </c>
      <c r="K572" t="s">
        <v>14</v>
      </c>
    </row>
    <row r="573" spans="1:11" x14ac:dyDescent="0.3">
      <c r="A573">
        <v>671</v>
      </c>
      <c r="B573" t="s">
        <v>64</v>
      </c>
      <c r="C573" t="s">
        <v>13</v>
      </c>
      <c r="D573">
        <v>0.26500000000000001</v>
      </c>
      <c r="E573">
        <v>18</v>
      </c>
      <c r="F573" t="s">
        <v>59</v>
      </c>
      <c r="G573">
        <v>49.056946000000003</v>
      </c>
      <c r="H573">
        <v>22.424916</v>
      </c>
      <c r="I573" t="s">
        <v>61</v>
      </c>
      <c r="J573" s="12">
        <v>45390</v>
      </c>
      <c r="K573" t="s">
        <v>14</v>
      </c>
    </row>
    <row r="574" spans="1:11" x14ac:dyDescent="0.3">
      <c r="A574">
        <v>673</v>
      </c>
      <c r="B574" t="s">
        <v>64</v>
      </c>
      <c r="C574" t="s">
        <v>4</v>
      </c>
      <c r="D574">
        <v>0.29599999999999999</v>
      </c>
      <c r="E574">
        <v>22</v>
      </c>
      <c r="F574" t="s">
        <v>59</v>
      </c>
      <c r="G574">
        <v>50.041497</v>
      </c>
      <c r="H574">
        <v>19.950657</v>
      </c>
      <c r="I574" t="s">
        <v>61</v>
      </c>
      <c r="J574" s="12">
        <v>45391</v>
      </c>
      <c r="K574" t="s">
        <v>6</v>
      </c>
    </row>
    <row r="575" spans="1:11" x14ac:dyDescent="0.3">
      <c r="A575">
        <v>674</v>
      </c>
      <c r="B575" t="s">
        <v>64</v>
      </c>
      <c r="C575" t="s">
        <v>7</v>
      </c>
      <c r="D575">
        <v>0.25700000000000001</v>
      </c>
      <c r="E575">
        <v>20</v>
      </c>
      <c r="F575" t="s">
        <v>62</v>
      </c>
      <c r="G575">
        <v>47.509374999999999</v>
      </c>
      <c r="H575">
        <v>18.939807999999999</v>
      </c>
      <c r="I575" t="s">
        <v>61</v>
      </c>
      <c r="J575" s="12">
        <v>45391</v>
      </c>
      <c r="K575" t="s">
        <v>6</v>
      </c>
    </row>
    <row r="576" spans="1:11" x14ac:dyDescent="0.3">
      <c r="A576">
        <v>675</v>
      </c>
      <c r="B576" t="s">
        <v>64</v>
      </c>
      <c r="C576" t="s">
        <v>15</v>
      </c>
      <c r="D576">
        <v>0.313</v>
      </c>
      <c r="E576">
        <v>21</v>
      </c>
      <c r="F576" t="s">
        <v>59</v>
      </c>
      <c r="G576">
        <v>49.937424999999998</v>
      </c>
      <c r="H576">
        <v>14.182722999999999</v>
      </c>
      <c r="I576" t="s">
        <v>61</v>
      </c>
      <c r="J576" s="12">
        <v>45391</v>
      </c>
      <c r="K576" t="s">
        <v>14</v>
      </c>
    </row>
    <row r="577" spans="1:11" x14ac:dyDescent="0.3">
      <c r="A577">
        <v>676</v>
      </c>
      <c r="B577" t="s">
        <v>64</v>
      </c>
      <c r="C577" t="s">
        <v>15</v>
      </c>
      <c r="D577">
        <v>0.28199999999999997</v>
      </c>
      <c r="E577">
        <v>19</v>
      </c>
      <c r="F577" t="s">
        <v>62</v>
      </c>
      <c r="G577">
        <v>49.939072000000003</v>
      </c>
      <c r="H577">
        <v>14.180063000000001</v>
      </c>
      <c r="I577" t="s">
        <v>61</v>
      </c>
      <c r="J577" s="12">
        <v>45391</v>
      </c>
      <c r="K577" t="s">
        <v>14</v>
      </c>
    </row>
    <row r="578" spans="1:11" x14ac:dyDescent="0.3">
      <c r="A578">
        <v>679</v>
      </c>
      <c r="B578" t="s">
        <v>58</v>
      </c>
      <c r="C578" t="s">
        <v>4</v>
      </c>
      <c r="D578">
        <v>486</v>
      </c>
      <c r="E578">
        <v>235</v>
      </c>
      <c r="F578" t="s">
        <v>62</v>
      </c>
      <c r="G578">
        <v>52.809086000000001</v>
      </c>
      <c r="H578">
        <v>23.696425000000001</v>
      </c>
      <c r="I578" t="s">
        <v>61</v>
      </c>
      <c r="J578" s="12">
        <v>45392</v>
      </c>
      <c r="K578" t="s">
        <v>6</v>
      </c>
    </row>
    <row r="579" spans="1:11" x14ac:dyDescent="0.3">
      <c r="A579">
        <v>680</v>
      </c>
      <c r="B579" t="s">
        <v>63</v>
      </c>
      <c r="C579" t="s">
        <v>4</v>
      </c>
      <c r="D579">
        <v>22</v>
      </c>
      <c r="E579">
        <v>78</v>
      </c>
      <c r="F579" t="s">
        <v>59</v>
      </c>
      <c r="G579">
        <v>52.821624999999997</v>
      </c>
      <c r="H579">
        <v>23.818062999999999</v>
      </c>
      <c r="I579" t="s">
        <v>61</v>
      </c>
      <c r="J579" s="12">
        <v>45392</v>
      </c>
      <c r="K579" t="s">
        <v>6</v>
      </c>
    </row>
    <row r="580" spans="1:11" x14ac:dyDescent="0.3">
      <c r="A580">
        <v>681</v>
      </c>
      <c r="B580" t="s">
        <v>65</v>
      </c>
      <c r="C580" t="s">
        <v>13</v>
      </c>
      <c r="D580">
        <v>1.2</v>
      </c>
      <c r="E580">
        <v>26</v>
      </c>
      <c r="F580" t="s">
        <v>59</v>
      </c>
      <c r="G580">
        <v>48.409469000000001</v>
      </c>
      <c r="H580">
        <v>18.861715</v>
      </c>
      <c r="I580" t="s">
        <v>61</v>
      </c>
      <c r="J580" s="12">
        <v>45392</v>
      </c>
      <c r="K580" t="s">
        <v>14</v>
      </c>
    </row>
    <row r="581" spans="1:11" x14ac:dyDescent="0.3">
      <c r="A581">
        <v>682</v>
      </c>
      <c r="B581" t="s">
        <v>64</v>
      </c>
      <c r="C581" t="s">
        <v>15</v>
      </c>
      <c r="D581">
        <v>0.25700000000000001</v>
      </c>
      <c r="E581">
        <v>21</v>
      </c>
      <c r="F581" t="s">
        <v>59</v>
      </c>
      <c r="G581">
        <v>50.107146999999998</v>
      </c>
      <c r="H581">
        <v>14.347009</v>
      </c>
      <c r="I581" t="s">
        <v>61</v>
      </c>
      <c r="J581" s="12">
        <v>45392</v>
      </c>
      <c r="K581" t="s">
        <v>14</v>
      </c>
    </row>
    <row r="582" spans="1:11" x14ac:dyDescent="0.3">
      <c r="A582">
        <v>683</v>
      </c>
      <c r="B582" t="s">
        <v>58</v>
      </c>
      <c r="C582" t="s">
        <v>4</v>
      </c>
      <c r="D582">
        <v>610</v>
      </c>
      <c r="E582">
        <v>281</v>
      </c>
      <c r="F582" t="s">
        <v>62</v>
      </c>
      <c r="G582">
        <v>52.810988999999999</v>
      </c>
      <c r="H582">
        <v>23.689136999999999</v>
      </c>
      <c r="I582" t="s">
        <v>61</v>
      </c>
      <c r="J582" s="12">
        <v>45393</v>
      </c>
      <c r="K582" t="s">
        <v>6</v>
      </c>
    </row>
    <row r="583" spans="1:11" x14ac:dyDescent="0.3">
      <c r="A583">
        <v>684</v>
      </c>
      <c r="B583" t="s">
        <v>65</v>
      </c>
      <c r="C583" t="s">
        <v>7</v>
      </c>
      <c r="D583">
        <v>0.8</v>
      </c>
      <c r="E583">
        <v>17</v>
      </c>
      <c r="F583" t="s">
        <v>62</v>
      </c>
      <c r="G583">
        <v>47.507080999999999</v>
      </c>
      <c r="H583">
        <v>18.939062</v>
      </c>
      <c r="I583" t="s">
        <v>61</v>
      </c>
      <c r="J583" s="12">
        <v>45393</v>
      </c>
      <c r="K583" t="s">
        <v>6</v>
      </c>
    </row>
    <row r="584" spans="1:11" x14ac:dyDescent="0.3">
      <c r="A584">
        <v>685</v>
      </c>
      <c r="B584" t="s">
        <v>64</v>
      </c>
      <c r="C584" t="s">
        <v>4</v>
      </c>
      <c r="D584">
        <v>0.32500000000000001</v>
      </c>
      <c r="E584">
        <v>20</v>
      </c>
      <c r="F584" t="s">
        <v>62</v>
      </c>
      <c r="G584">
        <v>50.041347000000002</v>
      </c>
      <c r="H584">
        <v>19.950773000000002</v>
      </c>
      <c r="I584" t="s">
        <v>61</v>
      </c>
      <c r="J584" s="12">
        <v>45393</v>
      </c>
      <c r="K584" t="s">
        <v>6</v>
      </c>
    </row>
    <row r="585" spans="1:11" x14ac:dyDescent="0.3">
      <c r="A585">
        <v>686</v>
      </c>
      <c r="B585" t="s">
        <v>64</v>
      </c>
      <c r="C585" t="s">
        <v>7</v>
      </c>
      <c r="D585">
        <v>0.27500000000000002</v>
      </c>
      <c r="E585">
        <v>21</v>
      </c>
      <c r="F585" t="s">
        <v>62</v>
      </c>
      <c r="G585">
        <v>47.506070999999999</v>
      </c>
      <c r="H585">
        <v>18.949311000000002</v>
      </c>
      <c r="I585" t="s">
        <v>61</v>
      </c>
      <c r="J585" s="12">
        <v>45393</v>
      </c>
      <c r="K585" t="s">
        <v>6</v>
      </c>
    </row>
    <row r="586" spans="1:11" x14ac:dyDescent="0.3">
      <c r="A586">
        <v>687</v>
      </c>
      <c r="B586" t="s">
        <v>64</v>
      </c>
      <c r="C586" t="s">
        <v>7</v>
      </c>
      <c r="D586">
        <v>0.28499999999999998</v>
      </c>
      <c r="E586">
        <v>20</v>
      </c>
      <c r="F586" t="s">
        <v>59</v>
      </c>
      <c r="G586">
        <v>47.509655000000002</v>
      </c>
      <c r="H586">
        <v>18.943576</v>
      </c>
      <c r="I586" t="s">
        <v>61</v>
      </c>
      <c r="J586" s="12">
        <v>45393</v>
      </c>
      <c r="K586" t="s">
        <v>6</v>
      </c>
    </row>
    <row r="587" spans="1:11" x14ac:dyDescent="0.3">
      <c r="A587">
        <v>688</v>
      </c>
      <c r="B587" t="s">
        <v>64</v>
      </c>
      <c r="C587" t="s">
        <v>17</v>
      </c>
      <c r="D587">
        <v>0.31</v>
      </c>
      <c r="E587">
        <v>23</v>
      </c>
      <c r="F587" t="s">
        <v>59</v>
      </c>
      <c r="G587">
        <v>47.856091999999997</v>
      </c>
      <c r="H587">
        <v>15.083546999999999</v>
      </c>
      <c r="I587" t="s">
        <v>61</v>
      </c>
      <c r="J587" s="12">
        <v>45393</v>
      </c>
      <c r="K587" t="s">
        <v>12</v>
      </c>
    </row>
    <row r="588" spans="1:11" x14ac:dyDescent="0.3">
      <c r="A588">
        <v>689</v>
      </c>
      <c r="B588" t="s">
        <v>64</v>
      </c>
      <c r="C588" t="s">
        <v>17</v>
      </c>
      <c r="D588">
        <v>0.25600000000000001</v>
      </c>
      <c r="E588">
        <v>19</v>
      </c>
      <c r="F588" t="s">
        <v>59</v>
      </c>
      <c r="G588">
        <v>47.854875999999997</v>
      </c>
      <c r="H588">
        <v>15.08295</v>
      </c>
      <c r="I588" t="s">
        <v>61</v>
      </c>
      <c r="J588" s="12">
        <v>45393</v>
      </c>
      <c r="K588" t="s">
        <v>12</v>
      </c>
    </row>
    <row r="589" spans="1:11" x14ac:dyDescent="0.3">
      <c r="A589">
        <v>690</v>
      </c>
      <c r="B589" t="s">
        <v>64</v>
      </c>
      <c r="C589" t="s">
        <v>17</v>
      </c>
      <c r="D589">
        <v>0.28499999999999998</v>
      </c>
      <c r="E589">
        <v>23</v>
      </c>
      <c r="F589" t="s">
        <v>59</v>
      </c>
      <c r="G589">
        <v>47.857534999999999</v>
      </c>
      <c r="H589">
        <v>15.078082999999999</v>
      </c>
      <c r="I589" t="s">
        <v>61</v>
      </c>
      <c r="J589" s="12">
        <v>45393</v>
      </c>
      <c r="K589" t="s">
        <v>12</v>
      </c>
    </row>
    <row r="590" spans="1:11" x14ac:dyDescent="0.3">
      <c r="A590">
        <v>691</v>
      </c>
      <c r="B590" t="s">
        <v>64</v>
      </c>
      <c r="C590" t="s">
        <v>11</v>
      </c>
      <c r="D590">
        <v>0.30299999999999999</v>
      </c>
      <c r="E590">
        <v>19</v>
      </c>
      <c r="F590" t="s">
        <v>62</v>
      </c>
      <c r="G590">
        <v>48.162436999999997</v>
      </c>
      <c r="H590">
        <v>11.494298000000001</v>
      </c>
      <c r="I590" t="s">
        <v>61</v>
      </c>
      <c r="J590" s="12">
        <v>45393</v>
      </c>
      <c r="K590" t="s">
        <v>12</v>
      </c>
    </row>
    <row r="591" spans="1:11" x14ac:dyDescent="0.3">
      <c r="A591">
        <v>692</v>
      </c>
      <c r="B591" t="s">
        <v>64</v>
      </c>
      <c r="C591" t="s">
        <v>11</v>
      </c>
      <c r="D591">
        <v>0.27300000000000002</v>
      </c>
      <c r="E591">
        <v>19</v>
      </c>
      <c r="F591" t="s">
        <v>59</v>
      </c>
      <c r="G591">
        <v>48.161105999999997</v>
      </c>
      <c r="H591">
        <v>11.48991</v>
      </c>
      <c r="I591" t="s">
        <v>61</v>
      </c>
      <c r="J591" s="12">
        <v>45393</v>
      </c>
      <c r="K591" t="s">
        <v>12</v>
      </c>
    </row>
    <row r="592" spans="1:11" x14ac:dyDescent="0.3">
      <c r="A592">
        <v>693</v>
      </c>
      <c r="B592" t="s">
        <v>64</v>
      </c>
      <c r="C592" t="s">
        <v>11</v>
      </c>
      <c r="D592">
        <v>0.26700000000000002</v>
      </c>
      <c r="E592">
        <v>22</v>
      </c>
      <c r="F592" t="s">
        <v>62</v>
      </c>
      <c r="G592">
        <v>48.161385000000003</v>
      </c>
      <c r="H592">
        <v>11.492571</v>
      </c>
      <c r="I592" t="s">
        <v>61</v>
      </c>
      <c r="J592" s="12">
        <v>45393</v>
      </c>
      <c r="K592" t="s">
        <v>12</v>
      </c>
    </row>
    <row r="593" spans="1:11" x14ac:dyDescent="0.3">
      <c r="A593">
        <v>694</v>
      </c>
      <c r="B593" t="s">
        <v>64</v>
      </c>
      <c r="C593" t="s">
        <v>11</v>
      </c>
      <c r="D593">
        <v>0.25800000000000001</v>
      </c>
      <c r="E593">
        <v>20</v>
      </c>
      <c r="F593" t="s">
        <v>62</v>
      </c>
      <c r="G593">
        <v>48.162137000000001</v>
      </c>
      <c r="H593">
        <v>11.494415</v>
      </c>
      <c r="I593" t="s">
        <v>61</v>
      </c>
      <c r="J593" s="12">
        <v>45393</v>
      </c>
      <c r="K593" t="s">
        <v>12</v>
      </c>
    </row>
    <row r="594" spans="1:11" x14ac:dyDescent="0.3">
      <c r="A594">
        <v>695</v>
      </c>
      <c r="B594" t="s">
        <v>64</v>
      </c>
      <c r="C594" t="s">
        <v>11</v>
      </c>
      <c r="D594">
        <v>0.29599999999999999</v>
      </c>
      <c r="E594">
        <v>18</v>
      </c>
      <c r="F594" t="s">
        <v>59</v>
      </c>
      <c r="G594">
        <v>48.162162000000002</v>
      </c>
      <c r="H594">
        <v>11.493917</v>
      </c>
      <c r="I594" t="s">
        <v>61</v>
      </c>
      <c r="J594" s="12">
        <v>45393</v>
      </c>
      <c r="K594" t="s">
        <v>12</v>
      </c>
    </row>
    <row r="595" spans="1:11" x14ac:dyDescent="0.3">
      <c r="A595">
        <v>696</v>
      </c>
      <c r="B595" t="s">
        <v>63</v>
      </c>
      <c r="C595" t="s">
        <v>13</v>
      </c>
      <c r="D595">
        <v>22</v>
      </c>
      <c r="E595">
        <v>88</v>
      </c>
      <c r="F595" t="s">
        <v>59</v>
      </c>
      <c r="G595">
        <v>48.408549999999998</v>
      </c>
      <c r="H595">
        <v>18.864934999999999</v>
      </c>
      <c r="I595" t="s">
        <v>61</v>
      </c>
      <c r="J595" s="12">
        <v>45393</v>
      </c>
      <c r="K595" t="s">
        <v>14</v>
      </c>
    </row>
    <row r="596" spans="1:11" x14ac:dyDescent="0.3">
      <c r="A596">
        <v>697</v>
      </c>
      <c r="B596" t="s">
        <v>64</v>
      </c>
      <c r="C596" t="s">
        <v>15</v>
      </c>
      <c r="D596">
        <v>0.308</v>
      </c>
      <c r="E596">
        <v>22</v>
      </c>
      <c r="F596" t="s">
        <v>62</v>
      </c>
      <c r="G596">
        <v>50.106721</v>
      </c>
      <c r="H596">
        <v>14.346231</v>
      </c>
      <c r="I596" t="s">
        <v>61</v>
      </c>
      <c r="J596" s="12">
        <v>45393</v>
      </c>
      <c r="K596" t="s">
        <v>14</v>
      </c>
    </row>
    <row r="597" spans="1:11" x14ac:dyDescent="0.3">
      <c r="A597">
        <v>701</v>
      </c>
      <c r="B597" t="s">
        <v>58</v>
      </c>
      <c r="C597" t="s">
        <v>4</v>
      </c>
      <c r="D597">
        <v>853</v>
      </c>
      <c r="E597">
        <v>287</v>
      </c>
      <c r="F597" t="s">
        <v>59</v>
      </c>
      <c r="G597">
        <v>52.803559999999997</v>
      </c>
      <c r="H597">
        <v>23.690377999999999</v>
      </c>
      <c r="I597" t="s">
        <v>61</v>
      </c>
      <c r="J597" s="12">
        <v>45394</v>
      </c>
      <c r="K597" t="s">
        <v>6</v>
      </c>
    </row>
    <row r="598" spans="1:11" x14ac:dyDescent="0.3">
      <c r="A598">
        <v>702</v>
      </c>
      <c r="B598" t="s">
        <v>64</v>
      </c>
      <c r="C598" t="s">
        <v>11</v>
      </c>
      <c r="D598">
        <v>0.30199999999999999</v>
      </c>
      <c r="E598">
        <v>18</v>
      </c>
      <c r="F598" t="s">
        <v>62</v>
      </c>
      <c r="G598">
        <v>48.160992</v>
      </c>
      <c r="H598">
        <v>11.495374</v>
      </c>
      <c r="I598" t="s">
        <v>61</v>
      </c>
      <c r="J598" s="12">
        <v>45394</v>
      </c>
      <c r="K598" t="s">
        <v>12</v>
      </c>
    </row>
    <row r="599" spans="1:11" x14ac:dyDescent="0.3">
      <c r="A599">
        <v>703</v>
      </c>
      <c r="B599" t="s">
        <v>65</v>
      </c>
      <c r="C599" t="s">
        <v>13</v>
      </c>
      <c r="D599">
        <v>1</v>
      </c>
      <c r="E599">
        <v>20</v>
      </c>
      <c r="F599" t="s">
        <v>62</v>
      </c>
      <c r="G599">
        <v>48.408712999999999</v>
      </c>
      <c r="H599">
        <v>18.863828999999999</v>
      </c>
      <c r="I599" t="s">
        <v>61</v>
      </c>
      <c r="J599" s="12">
        <v>45394</v>
      </c>
      <c r="K599" t="s">
        <v>14</v>
      </c>
    </row>
    <row r="600" spans="1:11" x14ac:dyDescent="0.3">
      <c r="A600">
        <v>704</v>
      </c>
      <c r="B600" t="s">
        <v>64</v>
      </c>
      <c r="C600" t="s">
        <v>15</v>
      </c>
      <c r="D600">
        <v>0.32500000000000001</v>
      </c>
      <c r="E600">
        <v>21</v>
      </c>
      <c r="F600" t="s">
        <v>62</v>
      </c>
      <c r="G600">
        <v>50.106482999999997</v>
      </c>
      <c r="H600">
        <v>14.348191999999999</v>
      </c>
      <c r="I600" t="s">
        <v>61</v>
      </c>
      <c r="J600" s="12">
        <v>45394</v>
      </c>
      <c r="K600" t="s">
        <v>14</v>
      </c>
    </row>
    <row r="601" spans="1:11" x14ac:dyDescent="0.3">
      <c r="A601">
        <v>705</v>
      </c>
      <c r="B601" t="s">
        <v>65</v>
      </c>
      <c r="C601" t="s">
        <v>7</v>
      </c>
      <c r="D601">
        <v>1.2</v>
      </c>
      <c r="E601">
        <v>23</v>
      </c>
      <c r="F601" t="s">
        <v>59</v>
      </c>
      <c r="G601">
        <v>47.511266999999997</v>
      </c>
      <c r="H601">
        <v>18.940190999999999</v>
      </c>
      <c r="I601" t="s">
        <v>61</v>
      </c>
      <c r="J601" s="12">
        <v>45395</v>
      </c>
      <c r="K601" t="s">
        <v>6</v>
      </c>
    </row>
    <row r="602" spans="1:11" x14ac:dyDescent="0.3">
      <c r="A602">
        <v>706</v>
      </c>
      <c r="B602" t="s">
        <v>64</v>
      </c>
      <c r="C602" t="s">
        <v>4</v>
      </c>
      <c r="D602">
        <v>0.26400000000000001</v>
      </c>
      <c r="E602">
        <v>20</v>
      </c>
      <c r="F602" t="s">
        <v>59</v>
      </c>
      <c r="G602">
        <v>50.041365999999996</v>
      </c>
      <c r="H602">
        <v>19.949936000000001</v>
      </c>
      <c r="I602" t="s">
        <v>61</v>
      </c>
      <c r="J602" s="12">
        <v>45395</v>
      </c>
      <c r="K602" t="s">
        <v>6</v>
      </c>
    </row>
    <row r="603" spans="1:11" x14ac:dyDescent="0.3">
      <c r="A603">
        <v>707</v>
      </c>
      <c r="B603" t="s">
        <v>64</v>
      </c>
      <c r="C603" t="s">
        <v>4</v>
      </c>
      <c r="D603">
        <v>0.297366504854368</v>
      </c>
      <c r="E603">
        <v>20.418848167539199</v>
      </c>
      <c r="F603" t="s">
        <v>59</v>
      </c>
      <c r="G603">
        <v>50.041573</v>
      </c>
      <c r="H603">
        <v>19.949850000000001</v>
      </c>
      <c r="I603" t="s">
        <v>61</v>
      </c>
      <c r="J603" s="12">
        <v>45395</v>
      </c>
      <c r="K603" t="s">
        <v>6</v>
      </c>
    </row>
    <row r="604" spans="1:11" x14ac:dyDescent="0.3">
      <c r="A604">
        <v>708</v>
      </c>
      <c r="B604" t="s">
        <v>64</v>
      </c>
      <c r="C604" t="s">
        <v>4</v>
      </c>
      <c r="D604">
        <v>0.32</v>
      </c>
      <c r="E604">
        <v>23</v>
      </c>
      <c r="F604" t="s">
        <v>62</v>
      </c>
      <c r="G604">
        <v>50.041553999999998</v>
      </c>
      <c r="H604">
        <v>19.951129999999999</v>
      </c>
      <c r="I604" t="s">
        <v>61</v>
      </c>
      <c r="J604" s="12">
        <v>45395</v>
      </c>
      <c r="K604" t="s">
        <v>6</v>
      </c>
    </row>
    <row r="605" spans="1:11" x14ac:dyDescent="0.3">
      <c r="A605">
        <v>709</v>
      </c>
      <c r="B605" t="s">
        <v>64</v>
      </c>
      <c r="C605" t="s">
        <v>4</v>
      </c>
      <c r="D605">
        <v>0.29799999999999999</v>
      </c>
      <c r="E605">
        <v>23</v>
      </c>
      <c r="F605" t="s">
        <v>59</v>
      </c>
      <c r="G605">
        <v>52.211967000000001</v>
      </c>
      <c r="H605">
        <v>21.032924000000001</v>
      </c>
      <c r="I605" t="s">
        <v>61</v>
      </c>
      <c r="J605" s="12">
        <v>45395</v>
      </c>
      <c r="K605" t="s">
        <v>6</v>
      </c>
    </row>
    <row r="606" spans="1:11" x14ac:dyDescent="0.3">
      <c r="A606">
        <v>710</v>
      </c>
      <c r="B606" t="s">
        <v>65</v>
      </c>
      <c r="C606" t="s">
        <v>13</v>
      </c>
      <c r="D606">
        <v>0.8</v>
      </c>
      <c r="E606">
        <v>23</v>
      </c>
      <c r="F606" t="s">
        <v>59</v>
      </c>
      <c r="G606">
        <v>48.412843000000002</v>
      </c>
      <c r="H606">
        <v>18.872613999999999</v>
      </c>
      <c r="I606" t="s">
        <v>61</v>
      </c>
      <c r="J606" s="12">
        <v>45395</v>
      </c>
      <c r="K606" t="s">
        <v>14</v>
      </c>
    </row>
    <row r="607" spans="1:11" x14ac:dyDescent="0.3">
      <c r="A607">
        <v>711</v>
      </c>
      <c r="B607" t="s">
        <v>65</v>
      </c>
      <c r="C607" t="s">
        <v>13</v>
      </c>
      <c r="D607">
        <v>0.8</v>
      </c>
      <c r="E607">
        <v>16</v>
      </c>
      <c r="F607" t="s">
        <v>59</v>
      </c>
      <c r="G607">
        <v>48.407138000000003</v>
      </c>
      <c r="H607">
        <v>18.867246999999999</v>
      </c>
      <c r="I607" t="s">
        <v>61</v>
      </c>
      <c r="J607" s="12">
        <v>45395</v>
      </c>
      <c r="K607" t="s">
        <v>14</v>
      </c>
    </row>
    <row r="608" spans="1:11" x14ac:dyDescent="0.3">
      <c r="A608">
        <v>716</v>
      </c>
      <c r="B608" t="s">
        <v>65</v>
      </c>
      <c r="C608" t="s">
        <v>7</v>
      </c>
      <c r="D608">
        <v>0.4</v>
      </c>
      <c r="E608">
        <v>17</v>
      </c>
      <c r="F608" t="s">
        <v>62</v>
      </c>
      <c r="G608">
        <v>47.509261000000002</v>
      </c>
      <c r="H608">
        <v>18.949967000000001</v>
      </c>
      <c r="I608" t="s">
        <v>61</v>
      </c>
      <c r="J608" s="12">
        <v>45396</v>
      </c>
      <c r="K608" t="s">
        <v>6</v>
      </c>
    </row>
    <row r="609" spans="1:11" x14ac:dyDescent="0.3">
      <c r="A609">
        <v>717</v>
      </c>
      <c r="B609" t="s">
        <v>63</v>
      </c>
      <c r="C609" t="s">
        <v>4</v>
      </c>
      <c r="D609">
        <v>20</v>
      </c>
      <c r="E609">
        <v>90</v>
      </c>
      <c r="F609" t="s">
        <v>62</v>
      </c>
      <c r="G609">
        <v>52.824607999999998</v>
      </c>
      <c r="H609">
        <v>23.817395999999999</v>
      </c>
      <c r="I609" t="s">
        <v>61</v>
      </c>
      <c r="J609" s="12">
        <v>45396</v>
      </c>
      <c r="K609" t="s">
        <v>6</v>
      </c>
    </row>
    <row r="610" spans="1:11" x14ac:dyDescent="0.3">
      <c r="A610">
        <v>718</v>
      </c>
      <c r="B610" t="s">
        <v>64</v>
      </c>
      <c r="C610" t="s">
        <v>7</v>
      </c>
      <c r="D610">
        <v>0.29699999999999999</v>
      </c>
      <c r="E610">
        <v>18</v>
      </c>
      <c r="F610" t="s">
        <v>59</v>
      </c>
      <c r="G610">
        <v>47.506306000000002</v>
      </c>
      <c r="H610">
        <v>18.946099</v>
      </c>
      <c r="I610" t="s">
        <v>61</v>
      </c>
      <c r="J610" s="12">
        <v>45396</v>
      </c>
      <c r="K610" t="s">
        <v>6</v>
      </c>
    </row>
    <row r="611" spans="1:11" x14ac:dyDescent="0.3">
      <c r="A611">
        <v>719</v>
      </c>
      <c r="B611" t="s">
        <v>64</v>
      </c>
      <c r="C611" t="s">
        <v>7</v>
      </c>
      <c r="D611">
        <v>0.308</v>
      </c>
      <c r="E611">
        <v>20</v>
      </c>
      <c r="F611" t="s">
        <v>62</v>
      </c>
      <c r="G611">
        <v>47.510067999999997</v>
      </c>
      <c r="H611">
        <v>18.947175999999999</v>
      </c>
      <c r="I611" t="s">
        <v>61</v>
      </c>
      <c r="J611" s="12">
        <v>45396</v>
      </c>
      <c r="K611" t="s">
        <v>6</v>
      </c>
    </row>
    <row r="612" spans="1:11" x14ac:dyDescent="0.3">
      <c r="A612">
        <v>720</v>
      </c>
      <c r="B612" t="s">
        <v>64</v>
      </c>
      <c r="C612" t="s">
        <v>7</v>
      </c>
      <c r="D612">
        <v>0.26800000000000002</v>
      </c>
      <c r="E612">
        <v>19</v>
      </c>
      <c r="F612" t="s">
        <v>59</v>
      </c>
      <c r="G612">
        <v>47.511060000000001</v>
      </c>
      <c r="H612">
        <v>18.939831999999999</v>
      </c>
      <c r="I612" t="s">
        <v>61</v>
      </c>
      <c r="J612" s="12">
        <v>45396</v>
      </c>
      <c r="K612" t="s">
        <v>6</v>
      </c>
    </row>
    <row r="613" spans="1:11" x14ac:dyDescent="0.3">
      <c r="A613">
        <v>721</v>
      </c>
      <c r="B613" t="s">
        <v>64</v>
      </c>
      <c r="C613" t="s">
        <v>11</v>
      </c>
      <c r="D613">
        <v>0.25900000000000001</v>
      </c>
      <c r="E613">
        <v>22</v>
      </c>
      <c r="F613" t="s">
        <v>59</v>
      </c>
      <c r="G613">
        <v>48.160831000000002</v>
      </c>
      <c r="H613">
        <v>11.492402999999999</v>
      </c>
      <c r="I613" t="s">
        <v>61</v>
      </c>
      <c r="J613" s="12">
        <v>45396</v>
      </c>
      <c r="K613" t="s">
        <v>12</v>
      </c>
    </row>
    <row r="614" spans="1:11" x14ac:dyDescent="0.3">
      <c r="A614">
        <v>725</v>
      </c>
      <c r="B614" t="s">
        <v>58</v>
      </c>
      <c r="C614" t="s">
        <v>4</v>
      </c>
      <c r="D614">
        <v>700</v>
      </c>
      <c r="E614">
        <v>286</v>
      </c>
      <c r="F614" t="s">
        <v>59</v>
      </c>
      <c r="G614">
        <v>52.808503000000002</v>
      </c>
      <c r="H614">
        <v>23.699369999999998</v>
      </c>
      <c r="I614" t="s">
        <v>61</v>
      </c>
      <c r="J614" s="12">
        <v>45397</v>
      </c>
      <c r="K614" t="s">
        <v>6</v>
      </c>
    </row>
    <row r="615" spans="1:11" x14ac:dyDescent="0.3">
      <c r="A615">
        <v>726</v>
      </c>
      <c r="B615" t="s">
        <v>65</v>
      </c>
      <c r="C615" t="s">
        <v>7</v>
      </c>
      <c r="D615">
        <v>0.7</v>
      </c>
      <c r="E615">
        <v>15</v>
      </c>
      <c r="F615" t="s">
        <v>59</v>
      </c>
      <c r="G615">
        <v>47.511426999999998</v>
      </c>
      <c r="H615">
        <v>18.948713999999999</v>
      </c>
      <c r="I615" t="s">
        <v>61</v>
      </c>
      <c r="J615" s="12">
        <v>45397</v>
      </c>
      <c r="K615" t="s">
        <v>6</v>
      </c>
    </row>
    <row r="616" spans="1:11" x14ac:dyDescent="0.3">
      <c r="A616">
        <v>727</v>
      </c>
      <c r="B616" t="s">
        <v>64</v>
      </c>
      <c r="C616" t="s">
        <v>4</v>
      </c>
      <c r="D616">
        <v>0.27800000000000002</v>
      </c>
      <c r="E616">
        <v>21</v>
      </c>
      <c r="F616" t="s">
        <v>62</v>
      </c>
      <c r="G616">
        <v>52.211888000000002</v>
      </c>
      <c r="H616">
        <v>21.032350000000001</v>
      </c>
      <c r="I616" t="s">
        <v>61</v>
      </c>
      <c r="J616" s="12">
        <v>45397</v>
      </c>
      <c r="K616" t="s">
        <v>6</v>
      </c>
    </row>
    <row r="617" spans="1:11" x14ac:dyDescent="0.3">
      <c r="A617">
        <v>728</v>
      </c>
      <c r="B617" t="s">
        <v>64</v>
      </c>
      <c r="C617" t="s">
        <v>11</v>
      </c>
      <c r="D617">
        <v>0.33900000000000002</v>
      </c>
      <c r="E617">
        <v>19</v>
      </c>
      <c r="F617" t="s">
        <v>62</v>
      </c>
      <c r="G617">
        <v>48.161422000000002</v>
      </c>
      <c r="H617">
        <v>11.491813</v>
      </c>
      <c r="I617" t="s">
        <v>61</v>
      </c>
      <c r="J617" s="12">
        <v>45397</v>
      </c>
      <c r="K617" t="s">
        <v>12</v>
      </c>
    </row>
    <row r="618" spans="1:11" x14ac:dyDescent="0.3">
      <c r="A618">
        <v>729</v>
      </c>
      <c r="B618" t="s">
        <v>64</v>
      </c>
      <c r="C618" t="s">
        <v>11</v>
      </c>
      <c r="D618">
        <v>0.307</v>
      </c>
      <c r="E618">
        <v>22</v>
      </c>
      <c r="F618" t="s">
        <v>59</v>
      </c>
      <c r="G618">
        <v>48.160789999999999</v>
      </c>
      <c r="H618">
        <v>11.489549</v>
      </c>
      <c r="I618" t="s">
        <v>61</v>
      </c>
      <c r="J618" s="12">
        <v>45397</v>
      </c>
      <c r="K618" t="s">
        <v>12</v>
      </c>
    </row>
    <row r="619" spans="1:11" x14ac:dyDescent="0.3">
      <c r="A619">
        <v>730</v>
      </c>
      <c r="B619" t="s">
        <v>64</v>
      </c>
      <c r="C619" t="s">
        <v>11</v>
      </c>
      <c r="D619">
        <v>0.25600000000000001</v>
      </c>
      <c r="E619">
        <v>20</v>
      </c>
      <c r="F619" t="s">
        <v>62</v>
      </c>
      <c r="G619">
        <v>48.161009</v>
      </c>
      <c r="H619">
        <v>11.491557</v>
      </c>
      <c r="I619" t="s">
        <v>61</v>
      </c>
      <c r="J619" s="12">
        <v>45397</v>
      </c>
      <c r="K619" t="s">
        <v>12</v>
      </c>
    </row>
    <row r="620" spans="1:11" x14ac:dyDescent="0.3">
      <c r="A620">
        <v>731</v>
      </c>
      <c r="B620" t="s">
        <v>64</v>
      </c>
      <c r="C620" t="s">
        <v>11</v>
      </c>
      <c r="D620">
        <v>0.28999999999999998</v>
      </c>
      <c r="E620">
        <v>20</v>
      </c>
      <c r="F620" t="s">
        <v>59</v>
      </c>
      <c r="G620">
        <v>48.160806999999998</v>
      </c>
      <c r="H620">
        <v>11.494218999999999</v>
      </c>
      <c r="I620" t="s">
        <v>61</v>
      </c>
      <c r="J620" s="12">
        <v>45397</v>
      </c>
      <c r="K620" t="s">
        <v>12</v>
      </c>
    </row>
    <row r="621" spans="1:11" x14ac:dyDescent="0.3">
      <c r="A621">
        <v>732</v>
      </c>
      <c r="B621" t="s">
        <v>64</v>
      </c>
      <c r="C621" t="s">
        <v>11</v>
      </c>
      <c r="D621">
        <v>0.32300000000000001</v>
      </c>
      <c r="E621">
        <v>18</v>
      </c>
      <c r="F621" t="s">
        <v>62</v>
      </c>
      <c r="G621">
        <v>48.161794</v>
      </c>
      <c r="H621">
        <v>11.494325</v>
      </c>
      <c r="I621" t="s">
        <v>61</v>
      </c>
      <c r="J621" s="12">
        <v>45397</v>
      </c>
      <c r="K621" t="s">
        <v>12</v>
      </c>
    </row>
    <row r="622" spans="1:11" x14ac:dyDescent="0.3">
      <c r="A622">
        <v>733</v>
      </c>
      <c r="B622" t="s">
        <v>64</v>
      </c>
      <c r="C622" t="s">
        <v>11</v>
      </c>
      <c r="D622">
        <v>0.29299999999999998</v>
      </c>
      <c r="E622">
        <v>21</v>
      </c>
      <c r="F622" t="s">
        <v>59</v>
      </c>
      <c r="G622">
        <v>48.161068999999998</v>
      </c>
      <c r="H622">
        <v>11.493029999999999</v>
      </c>
      <c r="I622" t="s">
        <v>61</v>
      </c>
      <c r="J622" s="12">
        <v>45397</v>
      </c>
      <c r="K622" t="s">
        <v>12</v>
      </c>
    </row>
    <row r="623" spans="1:11" x14ac:dyDescent="0.3">
      <c r="A623">
        <v>734</v>
      </c>
      <c r="B623" t="s">
        <v>64</v>
      </c>
      <c r="C623" t="s">
        <v>11</v>
      </c>
      <c r="D623">
        <v>0.32600000000000001</v>
      </c>
      <c r="E623">
        <v>18</v>
      </c>
      <c r="F623" t="s">
        <v>62</v>
      </c>
      <c r="G623">
        <v>48.160870000000003</v>
      </c>
      <c r="H623">
        <v>11.490270000000001</v>
      </c>
      <c r="I623" t="s">
        <v>61</v>
      </c>
      <c r="J623" s="12">
        <v>45397</v>
      </c>
      <c r="K623" t="s">
        <v>12</v>
      </c>
    </row>
    <row r="624" spans="1:11" x14ac:dyDescent="0.3">
      <c r="A624">
        <v>735</v>
      </c>
      <c r="B624" t="s">
        <v>64</v>
      </c>
      <c r="C624" t="s">
        <v>11</v>
      </c>
      <c r="D624">
        <v>0.26600000000000001</v>
      </c>
      <c r="E624">
        <v>21</v>
      </c>
      <c r="F624" t="s">
        <v>62</v>
      </c>
      <c r="G624">
        <v>48.160559999999997</v>
      </c>
      <c r="H624">
        <v>11.490805999999999</v>
      </c>
      <c r="I624" t="s">
        <v>61</v>
      </c>
      <c r="J624" s="12">
        <v>45397</v>
      </c>
      <c r="K624" t="s">
        <v>12</v>
      </c>
    </row>
    <row r="625" spans="1:11" x14ac:dyDescent="0.3">
      <c r="A625">
        <v>736</v>
      </c>
      <c r="B625" t="s">
        <v>65</v>
      </c>
      <c r="C625" t="s">
        <v>13</v>
      </c>
      <c r="D625">
        <v>0.5</v>
      </c>
      <c r="E625">
        <v>18</v>
      </c>
      <c r="F625" t="s">
        <v>62</v>
      </c>
      <c r="G625">
        <v>48.409908999999999</v>
      </c>
      <c r="H625">
        <v>18.867006</v>
      </c>
      <c r="I625" t="s">
        <v>61</v>
      </c>
      <c r="J625" s="12">
        <v>45397</v>
      </c>
      <c r="K625" t="s">
        <v>14</v>
      </c>
    </row>
    <row r="626" spans="1:11" x14ac:dyDescent="0.3">
      <c r="A626">
        <v>737</v>
      </c>
      <c r="B626" t="s">
        <v>64</v>
      </c>
      <c r="C626" t="s">
        <v>15</v>
      </c>
      <c r="D626">
        <v>0.317</v>
      </c>
      <c r="E626">
        <v>19</v>
      </c>
      <c r="F626" t="s">
        <v>59</v>
      </c>
      <c r="G626">
        <v>50.106372999999998</v>
      </c>
      <c r="H626">
        <v>14.347574</v>
      </c>
      <c r="I626" t="s">
        <v>61</v>
      </c>
      <c r="J626" s="12">
        <v>45397</v>
      </c>
      <c r="K626" t="s">
        <v>14</v>
      </c>
    </row>
    <row r="627" spans="1:11" x14ac:dyDescent="0.3">
      <c r="A627">
        <v>739</v>
      </c>
      <c r="B627" t="s">
        <v>65</v>
      </c>
      <c r="C627" t="s">
        <v>7</v>
      </c>
      <c r="D627">
        <v>0.5</v>
      </c>
      <c r="E627">
        <v>19</v>
      </c>
      <c r="F627" t="s">
        <v>62</v>
      </c>
      <c r="G627">
        <v>47.506430000000002</v>
      </c>
      <c r="H627">
        <v>18.947911999999999</v>
      </c>
      <c r="I627" t="s">
        <v>61</v>
      </c>
      <c r="J627" s="12">
        <v>45398</v>
      </c>
      <c r="K627" t="s">
        <v>6</v>
      </c>
    </row>
    <row r="628" spans="1:11" x14ac:dyDescent="0.3">
      <c r="A628">
        <v>740</v>
      </c>
      <c r="B628" t="s">
        <v>65</v>
      </c>
      <c r="C628" t="s">
        <v>7</v>
      </c>
      <c r="D628">
        <v>0.6</v>
      </c>
      <c r="E628">
        <v>15</v>
      </c>
      <c r="F628" t="s">
        <v>59</v>
      </c>
      <c r="G628">
        <v>47.506663000000003</v>
      </c>
      <c r="H628">
        <v>18.94032</v>
      </c>
      <c r="I628" t="s">
        <v>61</v>
      </c>
      <c r="J628" s="12">
        <v>45398</v>
      </c>
      <c r="K628" t="s">
        <v>6</v>
      </c>
    </row>
    <row r="629" spans="1:11" x14ac:dyDescent="0.3">
      <c r="A629">
        <v>741</v>
      </c>
      <c r="B629" t="s">
        <v>64</v>
      </c>
      <c r="C629" t="s">
        <v>7</v>
      </c>
      <c r="D629">
        <v>0.254</v>
      </c>
      <c r="E629">
        <v>20</v>
      </c>
      <c r="F629" t="s">
        <v>62</v>
      </c>
      <c r="G629">
        <v>47.508169000000002</v>
      </c>
      <c r="H629">
        <v>18.947417999999999</v>
      </c>
      <c r="I629" t="s">
        <v>61</v>
      </c>
      <c r="J629" s="12">
        <v>45398</v>
      </c>
      <c r="K629" t="s">
        <v>6</v>
      </c>
    </row>
    <row r="630" spans="1:11" x14ac:dyDescent="0.3">
      <c r="A630">
        <v>742</v>
      </c>
      <c r="B630" t="s">
        <v>64</v>
      </c>
      <c r="C630" t="s">
        <v>11</v>
      </c>
      <c r="D630">
        <v>0.313</v>
      </c>
      <c r="E630">
        <v>19</v>
      </c>
      <c r="F630" t="s">
        <v>59</v>
      </c>
      <c r="G630">
        <v>48.161901999999998</v>
      </c>
      <c r="H630">
        <v>11.494579999999999</v>
      </c>
      <c r="I630" t="s">
        <v>61</v>
      </c>
      <c r="J630" s="12">
        <v>45398</v>
      </c>
      <c r="K630" t="s">
        <v>12</v>
      </c>
    </row>
    <row r="631" spans="1:11" x14ac:dyDescent="0.3">
      <c r="A631">
        <v>743</v>
      </c>
      <c r="B631" t="s">
        <v>64</v>
      </c>
      <c r="C631" t="s">
        <v>11</v>
      </c>
      <c r="D631">
        <v>0.2</v>
      </c>
      <c r="E631">
        <v>14</v>
      </c>
      <c r="F631" t="s">
        <v>59</v>
      </c>
      <c r="G631">
        <v>49.554765000000003</v>
      </c>
      <c r="H631">
        <v>11.0922</v>
      </c>
      <c r="I631" t="s">
        <v>61</v>
      </c>
      <c r="J631" s="12">
        <v>45398</v>
      </c>
      <c r="K631" t="s">
        <v>12</v>
      </c>
    </row>
    <row r="632" spans="1:11" x14ac:dyDescent="0.3">
      <c r="A632">
        <v>744</v>
      </c>
      <c r="B632" t="s">
        <v>64</v>
      </c>
      <c r="C632" t="s">
        <v>11</v>
      </c>
      <c r="D632">
        <v>0.27800000000000002</v>
      </c>
      <c r="E632">
        <v>18</v>
      </c>
      <c r="F632" t="s">
        <v>62</v>
      </c>
      <c r="G632">
        <v>49.558466000000003</v>
      </c>
      <c r="H632">
        <v>11.096048</v>
      </c>
      <c r="I632" t="s">
        <v>61</v>
      </c>
      <c r="J632" s="12">
        <v>45398</v>
      </c>
      <c r="K632" t="s">
        <v>12</v>
      </c>
    </row>
    <row r="633" spans="1:11" x14ac:dyDescent="0.3">
      <c r="A633">
        <v>745</v>
      </c>
      <c r="B633" t="s">
        <v>65</v>
      </c>
      <c r="C633" t="s">
        <v>13</v>
      </c>
      <c r="D633">
        <v>0.6</v>
      </c>
      <c r="E633">
        <v>25</v>
      </c>
      <c r="F633" t="s">
        <v>59</v>
      </c>
      <c r="G633">
        <v>48.407604999999997</v>
      </c>
      <c r="H633">
        <v>18.876341</v>
      </c>
      <c r="I633" t="s">
        <v>61</v>
      </c>
      <c r="J633" s="12">
        <v>45398</v>
      </c>
      <c r="K633" t="s">
        <v>14</v>
      </c>
    </row>
    <row r="634" spans="1:11" x14ac:dyDescent="0.3">
      <c r="A634">
        <v>747</v>
      </c>
      <c r="B634" t="s">
        <v>64</v>
      </c>
      <c r="C634" t="s">
        <v>4</v>
      </c>
      <c r="D634">
        <v>0.29799999999999999</v>
      </c>
      <c r="E634">
        <v>19</v>
      </c>
      <c r="F634" t="s">
        <v>62</v>
      </c>
      <c r="G634">
        <v>52.212378999999999</v>
      </c>
      <c r="H634">
        <v>21.032913000000001</v>
      </c>
      <c r="I634" t="s">
        <v>61</v>
      </c>
      <c r="J634" s="12">
        <v>45399</v>
      </c>
      <c r="K634" t="s">
        <v>6</v>
      </c>
    </row>
    <row r="635" spans="1:11" x14ac:dyDescent="0.3">
      <c r="A635">
        <v>748</v>
      </c>
      <c r="B635" t="s">
        <v>65</v>
      </c>
      <c r="C635" t="s">
        <v>11</v>
      </c>
      <c r="D635">
        <v>0.7</v>
      </c>
      <c r="E635">
        <v>21</v>
      </c>
      <c r="F635" t="s">
        <v>59</v>
      </c>
      <c r="G635">
        <v>49.556052000000001</v>
      </c>
      <c r="H635">
        <v>11.081500999999999</v>
      </c>
      <c r="I635" t="s">
        <v>61</v>
      </c>
      <c r="J635" s="12">
        <v>45399</v>
      </c>
      <c r="K635" t="s">
        <v>12</v>
      </c>
    </row>
    <row r="636" spans="1:11" x14ac:dyDescent="0.3">
      <c r="A636">
        <v>749</v>
      </c>
      <c r="B636" t="s">
        <v>65</v>
      </c>
      <c r="C636" t="s">
        <v>11</v>
      </c>
      <c r="D636">
        <v>1.2</v>
      </c>
      <c r="E636">
        <v>28</v>
      </c>
      <c r="F636" t="s">
        <v>59</v>
      </c>
      <c r="G636">
        <v>49.551519999999996</v>
      </c>
      <c r="H636">
        <v>11.079537</v>
      </c>
      <c r="I636" t="s">
        <v>61</v>
      </c>
      <c r="J636" s="12">
        <v>45399</v>
      </c>
      <c r="K636" t="s">
        <v>12</v>
      </c>
    </row>
    <row r="637" spans="1:11" x14ac:dyDescent="0.3">
      <c r="A637">
        <v>750</v>
      </c>
      <c r="B637" t="s">
        <v>65</v>
      </c>
      <c r="C637" t="s">
        <v>11</v>
      </c>
      <c r="D637">
        <v>0.5</v>
      </c>
      <c r="E637">
        <v>18</v>
      </c>
      <c r="F637" t="s">
        <v>62</v>
      </c>
      <c r="G637">
        <v>49.553736999999998</v>
      </c>
      <c r="H637">
        <v>11.087705</v>
      </c>
      <c r="I637" t="s">
        <v>61</v>
      </c>
      <c r="J637" s="12">
        <v>45399</v>
      </c>
      <c r="K637" t="s">
        <v>12</v>
      </c>
    </row>
    <row r="638" spans="1:11" x14ac:dyDescent="0.3">
      <c r="A638">
        <v>751</v>
      </c>
      <c r="B638" t="s">
        <v>65</v>
      </c>
      <c r="C638" t="s">
        <v>11</v>
      </c>
      <c r="D638">
        <v>1</v>
      </c>
      <c r="E638">
        <v>20</v>
      </c>
      <c r="F638" t="s">
        <v>59</v>
      </c>
      <c r="G638">
        <v>49.560442000000002</v>
      </c>
      <c r="H638">
        <v>11.098395</v>
      </c>
      <c r="I638" t="s">
        <v>61</v>
      </c>
      <c r="J638" s="12">
        <v>45399</v>
      </c>
      <c r="K638" t="s">
        <v>12</v>
      </c>
    </row>
    <row r="639" spans="1:11" x14ac:dyDescent="0.3">
      <c r="A639">
        <v>752</v>
      </c>
      <c r="B639" t="s">
        <v>65</v>
      </c>
      <c r="C639" t="s">
        <v>11</v>
      </c>
      <c r="D639">
        <v>0.9</v>
      </c>
      <c r="E639">
        <v>25</v>
      </c>
      <c r="F639" t="s">
        <v>59</v>
      </c>
      <c r="G639">
        <v>49.560723000000003</v>
      </c>
      <c r="H639">
        <v>11.084667</v>
      </c>
      <c r="I639" t="s">
        <v>61</v>
      </c>
      <c r="J639" s="12">
        <v>45399</v>
      </c>
      <c r="K639" t="s">
        <v>12</v>
      </c>
    </row>
    <row r="640" spans="1:11" x14ac:dyDescent="0.3">
      <c r="A640">
        <v>753</v>
      </c>
      <c r="B640" t="s">
        <v>65</v>
      </c>
      <c r="C640" t="s">
        <v>11</v>
      </c>
      <c r="D640">
        <v>0.4</v>
      </c>
      <c r="E640">
        <v>16</v>
      </c>
      <c r="F640" t="s">
        <v>62</v>
      </c>
      <c r="G640">
        <v>49.558790000000002</v>
      </c>
      <c r="H640">
        <v>11.081218</v>
      </c>
      <c r="I640" t="s">
        <v>61</v>
      </c>
      <c r="J640" s="12">
        <v>45399</v>
      </c>
      <c r="K640" t="s">
        <v>12</v>
      </c>
    </row>
    <row r="641" spans="1:11" x14ac:dyDescent="0.3">
      <c r="A641">
        <v>754</v>
      </c>
      <c r="B641" t="s">
        <v>64</v>
      </c>
      <c r="C641" t="s">
        <v>11</v>
      </c>
      <c r="D641">
        <v>0.29399999999999998</v>
      </c>
      <c r="E641">
        <v>20</v>
      </c>
      <c r="F641" t="s">
        <v>59</v>
      </c>
      <c r="G641">
        <v>49.545856999999998</v>
      </c>
      <c r="H641">
        <v>11.076254</v>
      </c>
      <c r="I641" t="s">
        <v>61</v>
      </c>
      <c r="J641" s="12">
        <v>45399</v>
      </c>
      <c r="K641" t="s">
        <v>12</v>
      </c>
    </row>
    <row r="642" spans="1:11" x14ac:dyDescent="0.3">
      <c r="A642">
        <v>755</v>
      </c>
      <c r="B642" t="s">
        <v>64</v>
      </c>
      <c r="C642" t="s">
        <v>11</v>
      </c>
      <c r="D642">
        <v>0.3</v>
      </c>
      <c r="E642">
        <v>23</v>
      </c>
      <c r="F642" t="s">
        <v>62</v>
      </c>
      <c r="G642">
        <v>49.554684999999999</v>
      </c>
      <c r="H642">
        <v>11.083449999999999</v>
      </c>
      <c r="I642" t="s">
        <v>61</v>
      </c>
      <c r="J642" s="12">
        <v>45399</v>
      </c>
      <c r="K642" t="s">
        <v>12</v>
      </c>
    </row>
    <row r="643" spans="1:11" x14ac:dyDescent="0.3">
      <c r="A643">
        <v>756</v>
      </c>
      <c r="B643" t="s">
        <v>65</v>
      </c>
      <c r="C643" t="s">
        <v>13</v>
      </c>
      <c r="D643">
        <v>1.1000000000000001</v>
      </c>
      <c r="E643">
        <v>23</v>
      </c>
      <c r="F643" t="s">
        <v>59</v>
      </c>
      <c r="G643">
        <v>48.186112000000001</v>
      </c>
      <c r="H643">
        <v>17.090491</v>
      </c>
      <c r="I643" t="s">
        <v>61</v>
      </c>
      <c r="J643" s="12">
        <v>45399</v>
      </c>
      <c r="K643" t="s">
        <v>14</v>
      </c>
    </row>
    <row r="644" spans="1:11" x14ac:dyDescent="0.3">
      <c r="A644">
        <v>757</v>
      </c>
      <c r="B644" t="s">
        <v>63</v>
      </c>
      <c r="C644" t="s">
        <v>13</v>
      </c>
      <c r="D644">
        <v>27</v>
      </c>
      <c r="E644">
        <v>100</v>
      </c>
      <c r="F644" t="s">
        <v>59</v>
      </c>
      <c r="G644">
        <v>48.411116999999997</v>
      </c>
      <c r="H644">
        <v>18.862265000000001</v>
      </c>
      <c r="I644" t="s">
        <v>61</v>
      </c>
      <c r="J644" s="12">
        <v>45399</v>
      </c>
      <c r="K644" t="s">
        <v>14</v>
      </c>
    </row>
    <row r="645" spans="1:11" x14ac:dyDescent="0.3">
      <c r="A645">
        <v>758</v>
      </c>
      <c r="B645" t="s">
        <v>64</v>
      </c>
      <c r="C645" t="s">
        <v>15</v>
      </c>
      <c r="D645">
        <v>0.28299999999999997</v>
      </c>
      <c r="E645">
        <v>22</v>
      </c>
      <c r="F645" t="s">
        <v>62</v>
      </c>
      <c r="G645">
        <v>50.106413000000003</v>
      </c>
      <c r="H645">
        <v>14.348204000000001</v>
      </c>
      <c r="I645" t="s">
        <v>61</v>
      </c>
      <c r="J645" s="12">
        <v>45399</v>
      </c>
      <c r="K645" t="s">
        <v>14</v>
      </c>
    </row>
    <row r="646" spans="1:11" x14ac:dyDescent="0.3">
      <c r="A646">
        <v>759</v>
      </c>
      <c r="B646" t="s">
        <v>64</v>
      </c>
      <c r="C646" t="s">
        <v>15</v>
      </c>
      <c r="D646">
        <v>0.28000000000000003</v>
      </c>
      <c r="E646">
        <v>22</v>
      </c>
      <c r="F646" t="s">
        <v>62</v>
      </c>
      <c r="G646">
        <v>50.107135</v>
      </c>
      <c r="H646">
        <v>14.348205999999999</v>
      </c>
      <c r="I646" t="s">
        <v>61</v>
      </c>
      <c r="J646" s="12">
        <v>45399</v>
      </c>
      <c r="K646" t="s">
        <v>14</v>
      </c>
    </row>
    <row r="647" spans="1:11" x14ac:dyDescent="0.3">
      <c r="A647">
        <v>761</v>
      </c>
      <c r="B647" t="s">
        <v>58</v>
      </c>
      <c r="C647" t="s">
        <v>4</v>
      </c>
      <c r="D647">
        <v>405</v>
      </c>
      <c r="E647">
        <v>220</v>
      </c>
      <c r="F647" t="s">
        <v>62</v>
      </c>
      <c r="G647">
        <v>52.804031000000002</v>
      </c>
      <c r="H647">
        <v>23.683032000000001</v>
      </c>
      <c r="I647" t="s">
        <v>61</v>
      </c>
      <c r="J647" s="12">
        <v>45400</v>
      </c>
      <c r="K647" t="s">
        <v>6</v>
      </c>
    </row>
    <row r="648" spans="1:11" x14ac:dyDescent="0.3">
      <c r="A648">
        <v>762</v>
      </c>
      <c r="B648" t="s">
        <v>65</v>
      </c>
      <c r="C648" t="s">
        <v>11</v>
      </c>
      <c r="D648">
        <v>1</v>
      </c>
      <c r="E648">
        <v>24</v>
      </c>
      <c r="F648" t="s">
        <v>59</v>
      </c>
      <c r="G648">
        <v>49.561056999999998</v>
      </c>
      <c r="H648">
        <v>11.084334</v>
      </c>
      <c r="I648" t="s">
        <v>61</v>
      </c>
      <c r="J648" s="12">
        <v>45400</v>
      </c>
      <c r="K648" t="s">
        <v>12</v>
      </c>
    </row>
    <row r="649" spans="1:11" x14ac:dyDescent="0.3">
      <c r="A649">
        <v>763</v>
      </c>
      <c r="B649" t="s">
        <v>65</v>
      </c>
      <c r="C649" t="s">
        <v>11</v>
      </c>
      <c r="D649">
        <v>0.6</v>
      </c>
      <c r="E649">
        <v>11</v>
      </c>
      <c r="F649" t="s">
        <v>59</v>
      </c>
      <c r="G649">
        <v>49.557054999999998</v>
      </c>
      <c r="H649">
        <v>11.101996</v>
      </c>
      <c r="I649" t="s">
        <v>61</v>
      </c>
      <c r="J649" s="12">
        <v>45400</v>
      </c>
      <c r="K649" t="s">
        <v>12</v>
      </c>
    </row>
    <row r="650" spans="1:11" x14ac:dyDescent="0.3">
      <c r="A650">
        <v>764</v>
      </c>
      <c r="B650" t="s">
        <v>65</v>
      </c>
      <c r="C650" t="s">
        <v>11</v>
      </c>
      <c r="D650">
        <v>0.7</v>
      </c>
      <c r="E650">
        <v>25</v>
      </c>
      <c r="F650" t="s">
        <v>59</v>
      </c>
      <c r="G650">
        <v>49.554133</v>
      </c>
      <c r="H650">
        <v>11.089674</v>
      </c>
      <c r="I650" t="s">
        <v>61</v>
      </c>
      <c r="J650" s="12">
        <v>45400</v>
      </c>
      <c r="K650" t="s">
        <v>12</v>
      </c>
    </row>
    <row r="651" spans="1:11" x14ac:dyDescent="0.3">
      <c r="A651">
        <v>765</v>
      </c>
      <c r="B651" t="s">
        <v>65</v>
      </c>
      <c r="C651" t="s">
        <v>11</v>
      </c>
      <c r="D651">
        <v>0.6</v>
      </c>
      <c r="E651">
        <v>22</v>
      </c>
      <c r="F651" t="s">
        <v>62</v>
      </c>
      <c r="G651">
        <v>49.561174000000001</v>
      </c>
      <c r="H651">
        <v>11.102216</v>
      </c>
      <c r="I651" t="s">
        <v>61</v>
      </c>
      <c r="J651" s="12">
        <v>45400</v>
      </c>
      <c r="K651" t="s">
        <v>12</v>
      </c>
    </row>
    <row r="652" spans="1:11" x14ac:dyDescent="0.3">
      <c r="A652">
        <v>766</v>
      </c>
      <c r="B652" t="s">
        <v>65</v>
      </c>
      <c r="C652" t="s">
        <v>11</v>
      </c>
      <c r="D652">
        <v>0.5</v>
      </c>
      <c r="E652">
        <v>20</v>
      </c>
      <c r="F652" t="s">
        <v>59</v>
      </c>
      <c r="G652">
        <v>49.563085000000001</v>
      </c>
      <c r="H652">
        <v>11.101392000000001</v>
      </c>
      <c r="I652" t="s">
        <v>61</v>
      </c>
      <c r="J652" s="12">
        <v>45400</v>
      </c>
      <c r="K652" t="s">
        <v>12</v>
      </c>
    </row>
    <row r="653" spans="1:11" x14ac:dyDescent="0.3">
      <c r="A653">
        <v>767</v>
      </c>
      <c r="B653" t="s">
        <v>65</v>
      </c>
      <c r="C653" t="s">
        <v>11</v>
      </c>
      <c r="D653">
        <v>0.9</v>
      </c>
      <c r="E653">
        <v>25</v>
      </c>
      <c r="F653" t="s">
        <v>59</v>
      </c>
      <c r="G653">
        <v>49.551318000000002</v>
      </c>
      <c r="H653">
        <v>11.085475000000001</v>
      </c>
      <c r="I653" t="s">
        <v>61</v>
      </c>
      <c r="J653" s="12">
        <v>45400</v>
      </c>
      <c r="K653" t="s">
        <v>12</v>
      </c>
    </row>
    <row r="654" spans="1:11" x14ac:dyDescent="0.3">
      <c r="A654">
        <v>768</v>
      </c>
      <c r="B654" t="s">
        <v>65</v>
      </c>
      <c r="C654" t="s">
        <v>11</v>
      </c>
      <c r="D654">
        <v>0.5</v>
      </c>
      <c r="E654">
        <v>16</v>
      </c>
      <c r="F654" t="s">
        <v>62</v>
      </c>
      <c r="G654">
        <v>49.556237000000003</v>
      </c>
      <c r="H654">
        <v>11.088639000000001</v>
      </c>
      <c r="I654" t="s">
        <v>61</v>
      </c>
      <c r="J654" s="12">
        <v>45400</v>
      </c>
      <c r="K654" t="s">
        <v>12</v>
      </c>
    </row>
    <row r="655" spans="1:11" x14ac:dyDescent="0.3">
      <c r="A655">
        <v>769</v>
      </c>
      <c r="B655" t="s">
        <v>65</v>
      </c>
      <c r="C655" t="s">
        <v>11</v>
      </c>
      <c r="D655">
        <v>0.8</v>
      </c>
      <c r="E655">
        <v>17</v>
      </c>
      <c r="F655" t="s">
        <v>59</v>
      </c>
      <c r="G655">
        <v>49.545768000000002</v>
      </c>
      <c r="H655">
        <v>11.086385999999999</v>
      </c>
      <c r="I655" t="s">
        <v>61</v>
      </c>
      <c r="J655" s="12">
        <v>45400</v>
      </c>
      <c r="K655" t="s">
        <v>12</v>
      </c>
    </row>
    <row r="656" spans="1:11" x14ac:dyDescent="0.3">
      <c r="A656">
        <v>770</v>
      </c>
      <c r="B656" t="s">
        <v>64</v>
      </c>
      <c r="C656" t="s">
        <v>15</v>
      </c>
      <c r="D656">
        <v>0.32600000000000001</v>
      </c>
      <c r="E656">
        <v>23</v>
      </c>
      <c r="F656" t="s">
        <v>59</v>
      </c>
      <c r="G656">
        <v>50.107312999999998</v>
      </c>
      <c r="H656">
        <v>14.348552</v>
      </c>
      <c r="I656" t="s">
        <v>61</v>
      </c>
      <c r="J656" s="12">
        <v>45400</v>
      </c>
      <c r="K656" t="s">
        <v>14</v>
      </c>
    </row>
    <row r="657" spans="1:11" x14ac:dyDescent="0.3">
      <c r="A657">
        <v>771</v>
      </c>
      <c r="B657" t="s">
        <v>58</v>
      </c>
      <c r="C657" t="s">
        <v>4</v>
      </c>
      <c r="D657">
        <v>662</v>
      </c>
      <c r="E657">
        <v>244</v>
      </c>
      <c r="F657" t="s">
        <v>62</v>
      </c>
      <c r="G657">
        <v>52.809106</v>
      </c>
      <c r="H657">
        <v>23.680095000000001</v>
      </c>
      <c r="I657" t="s">
        <v>61</v>
      </c>
      <c r="J657" s="12">
        <v>45401</v>
      </c>
      <c r="K657" t="s">
        <v>6</v>
      </c>
    </row>
    <row r="658" spans="1:11" x14ac:dyDescent="0.3">
      <c r="A658">
        <v>772</v>
      </c>
      <c r="B658" t="s">
        <v>64</v>
      </c>
      <c r="C658" t="s">
        <v>4</v>
      </c>
      <c r="D658">
        <v>0.34100000000000003</v>
      </c>
      <c r="E658">
        <v>23</v>
      </c>
      <c r="F658" t="s">
        <v>59</v>
      </c>
      <c r="G658">
        <v>52.212041999999997</v>
      </c>
      <c r="H658">
        <v>21.033491999999999</v>
      </c>
      <c r="I658" t="s">
        <v>61</v>
      </c>
      <c r="J658" s="12">
        <v>45401</v>
      </c>
      <c r="K658" t="s">
        <v>6</v>
      </c>
    </row>
    <row r="659" spans="1:11" x14ac:dyDescent="0.3">
      <c r="A659">
        <v>773</v>
      </c>
      <c r="B659" t="s">
        <v>65</v>
      </c>
      <c r="C659" t="s">
        <v>17</v>
      </c>
      <c r="D659">
        <v>0.6</v>
      </c>
      <c r="E659">
        <v>17</v>
      </c>
      <c r="F659" t="s">
        <v>62</v>
      </c>
      <c r="G659">
        <v>47.319578999999997</v>
      </c>
      <c r="H659">
        <v>11.186061</v>
      </c>
      <c r="I659" t="s">
        <v>61</v>
      </c>
      <c r="J659" s="12">
        <v>45401</v>
      </c>
      <c r="K659" t="s">
        <v>12</v>
      </c>
    </row>
    <row r="660" spans="1:11" x14ac:dyDescent="0.3">
      <c r="A660">
        <v>774</v>
      </c>
      <c r="B660" t="s">
        <v>65</v>
      </c>
      <c r="C660" t="s">
        <v>17</v>
      </c>
      <c r="D660">
        <v>0.9</v>
      </c>
      <c r="E660">
        <v>25</v>
      </c>
      <c r="F660" t="s">
        <v>59</v>
      </c>
      <c r="G660">
        <v>47.317974</v>
      </c>
      <c r="H660">
        <v>11.187472</v>
      </c>
      <c r="I660" t="s">
        <v>61</v>
      </c>
      <c r="J660" s="12">
        <v>45401</v>
      </c>
      <c r="K660" t="s">
        <v>12</v>
      </c>
    </row>
    <row r="661" spans="1:11" x14ac:dyDescent="0.3">
      <c r="A661">
        <v>775</v>
      </c>
      <c r="B661" t="s">
        <v>65</v>
      </c>
      <c r="C661" t="s">
        <v>17</v>
      </c>
      <c r="D661">
        <v>1.1000000000000001</v>
      </c>
      <c r="E661">
        <v>22</v>
      </c>
      <c r="F661" t="s">
        <v>59</v>
      </c>
      <c r="G661">
        <v>47.316561999999998</v>
      </c>
      <c r="H661">
        <v>11.19116</v>
      </c>
      <c r="I661" t="s">
        <v>61</v>
      </c>
      <c r="J661" s="12">
        <v>45401</v>
      </c>
      <c r="K661" t="s">
        <v>12</v>
      </c>
    </row>
    <row r="662" spans="1:11" x14ac:dyDescent="0.3">
      <c r="A662">
        <v>776</v>
      </c>
      <c r="B662" t="s">
        <v>65</v>
      </c>
      <c r="C662" t="s">
        <v>17</v>
      </c>
      <c r="D662">
        <v>1.2</v>
      </c>
      <c r="E662">
        <v>24</v>
      </c>
      <c r="F662" t="s">
        <v>59</v>
      </c>
      <c r="G662">
        <v>47.318190999999999</v>
      </c>
      <c r="H662">
        <v>11.189484</v>
      </c>
      <c r="I662" t="s">
        <v>61</v>
      </c>
      <c r="J662" s="12">
        <v>45401</v>
      </c>
      <c r="K662" t="s">
        <v>12</v>
      </c>
    </row>
    <row r="663" spans="1:11" x14ac:dyDescent="0.3">
      <c r="A663">
        <v>777</v>
      </c>
      <c r="B663" t="s">
        <v>58</v>
      </c>
      <c r="C663" t="s">
        <v>15</v>
      </c>
      <c r="D663">
        <v>656</v>
      </c>
      <c r="E663">
        <v>245</v>
      </c>
      <c r="F663" t="s">
        <v>62</v>
      </c>
      <c r="G663">
        <v>50.643056000000001</v>
      </c>
      <c r="H663">
        <v>14.843037000000001</v>
      </c>
      <c r="I663" t="s">
        <v>61</v>
      </c>
      <c r="J663" s="12">
        <v>45401</v>
      </c>
      <c r="K663" t="s">
        <v>14</v>
      </c>
    </row>
    <row r="664" spans="1:11" x14ac:dyDescent="0.3">
      <c r="A664">
        <v>778</v>
      </c>
      <c r="B664" t="s">
        <v>65</v>
      </c>
      <c r="C664" t="s">
        <v>13</v>
      </c>
      <c r="D664">
        <v>1.1000000000000001</v>
      </c>
      <c r="E664">
        <v>19</v>
      </c>
      <c r="F664" t="s">
        <v>62</v>
      </c>
      <c r="G664">
        <v>48.187522000000001</v>
      </c>
      <c r="H664">
        <v>17.087250999999998</v>
      </c>
      <c r="I664" t="s">
        <v>61</v>
      </c>
      <c r="J664" s="12">
        <v>45401</v>
      </c>
      <c r="K664" t="s">
        <v>14</v>
      </c>
    </row>
    <row r="665" spans="1:11" x14ac:dyDescent="0.3">
      <c r="A665">
        <v>779</v>
      </c>
      <c r="B665" t="s">
        <v>65</v>
      </c>
      <c r="C665" t="s">
        <v>13</v>
      </c>
      <c r="D665">
        <v>1.1000000000000001</v>
      </c>
      <c r="E665">
        <v>29</v>
      </c>
      <c r="F665" t="s">
        <v>59</v>
      </c>
      <c r="G665">
        <v>48.185406</v>
      </c>
      <c r="H665">
        <v>17.084534999999999</v>
      </c>
      <c r="I665" t="s">
        <v>61</v>
      </c>
      <c r="J665" s="12">
        <v>45401</v>
      </c>
      <c r="K665" t="s">
        <v>14</v>
      </c>
    </row>
    <row r="666" spans="1:11" x14ac:dyDescent="0.3">
      <c r="A666">
        <v>780</v>
      </c>
      <c r="B666" t="s">
        <v>63</v>
      </c>
      <c r="C666" t="s">
        <v>15</v>
      </c>
      <c r="D666">
        <v>12</v>
      </c>
      <c r="E666">
        <v>52</v>
      </c>
      <c r="F666" t="s">
        <v>59</v>
      </c>
      <c r="G666">
        <v>50.882931999999997</v>
      </c>
      <c r="H666">
        <v>14.367993</v>
      </c>
      <c r="I666" t="s">
        <v>61</v>
      </c>
      <c r="J666" s="12">
        <v>45401</v>
      </c>
      <c r="K666" t="s">
        <v>14</v>
      </c>
    </row>
    <row r="667" spans="1:11" x14ac:dyDescent="0.3">
      <c r="A667">
        <v>781</v>
      </c>
      <c r="B667" t="s">
        <v>63</v>
      </c>
      <c r="C667" t="s">
        <v>13</v>
      </c>
      <c r="D667">
        <v>24</v>
      </c>
      <c r="E667">
        <v>81</v>
      </c>
      <c r="F667" t="s">
        <v>62</v>
      </c>
      <c r="G667">
        <v>48.408549000000001</v>
      </c>
      <c r="H667">
        <v>18.87396</v>
      </c>
      <c r="I667" t="s">
        <v>61</v>
      </c>
      <c r="J667" s="12">
        <v>45401</v>
      </c>
      <c r="K667" t="s">
        <v>14</v>
      </c>
    </row>
    <row r="668" spans="1:11" x14ac:dyDescent="0.3">
      <c r="A668">
        <v>782</v>
      </c>
      <c r="B668" t="s">
        <v>63</v>
      </c>
      <c r="C668" t="s">
        <v>15</v>
      </c>
      <c r="D668">
        <v>22</v>
      </c>
      <c r="E668">
        <v>83</v>
      </c>
      <c r="F668" t="s">
        <v>62</v>
      </c>
      <c r="G668">
        <v>50.882924000000003</v>
      </c>
      <c r="H668">
        <v>14.368207</v>
      </c>
      <c r="I668" t="s">
        <v>61</v>
      </c>
      <c r="J668" s="12">
        <v>45401</v>
      </c>
      <c r="K668" t="s">
        <v>14</v>
      </c>
    </row>
    <row r="669" spans="1:11" x14ac:dyDescent="0.3">
      <c r="A669">
        <v>784</v>
      </c>
      <c r="B669" t="s">
        <v>64</v>
      </c>
      <c r="C669" t="s">
        <v>4</v>
      </c>
      <c r="D669">
        <v>0.32700000000000001</v>
      </c>
      <c r="E669">
        <v>23</v>
      </c>
      <c r="F669" t="s">
        <v>59</v>
      </c>
      <c r="G669">
        <v>52.212167999999998</v>
      </c>
      <c r="H669">
        <v>21.032304</v>
      </c>
      <c r="I669" t="s">
        <v>61</v>
      </c>
      <c r="J669" s="12">
        <v>45402</v>
      </c>
      <c r="K669" t="s">
        <v>6</v>
      </c>
    </row>
    <row r="670" spans="1:11" x14ac:dyDescent="0.3">
      <c r="A670">
        <v>785</v>
      </c>
      <c r="B670" t="s">
        <v>64</v>
      </c>
      <c r="C670" t="s">
        <v>4</v>
      </c>
      <c r="D670">
        <v>0.33700000000000002</v>
      </c>
      <c r="E670">
        <v>24</v>
      </c>
      <c r="F670" t="s">
        <v>62</v>
      </c>
      <c r="G670">
        <v>52.211796999999997</v>
      </c>
      <c r="H670">
        <v>21.033750000000001</v>
      </c>
      <c r="I670" t="s">
        <v>8</v>
      </c>
      <c r="J670" s="12">
        <v>45402</v>
      </c>
      <c r="K670" t="s">
        <v>6</v>
      </c>
    </row>
    <row r="671" spans="1:11" x14ac:dyDescent="0.3">
      <c r="A671">
        <v>786</v>
      </c>
      <c r="B671" t="s">
        <v>64</v>
      </c>
      <c r="C671" t="s">
        <v>4</v>
      </c>
      <c r="D671">
        <v>0.318</v>
      </c>
      <c r="E671">
        <v>24</v>
      </c>
      <c r="F671" t="s">
        <v>59</v>
      </c>
      <c r="G671">
        <v>52.212470000000003</v>
      </c>
      <c r="H671">
        <v>21.033642</v>
      </c>
      <c r="I671" t="s">
        <v>61</v>
      </c>
      <c r="J671" s="12">
        <v>45402</v>
      </c>
      <c r="K671" t="s">
        <v>6</v>
      </c>
    </row>
    <row r="672" spans="1:11" x14ac:dyDescent="0.3">
      <c r="A672">
        <v>787</v>
      </c>
      <c r="B672" t="s">
        <v>64</v>
      </c>
      <c r="C672" t="s">
        <v>4</v>
      </c>
      <c r="D672">
        <v>0.33</v>
      </c>
      <c r="E672">
        <v>23</v>
      </c>
      <c r="F672" t="s">
        <v>59</v>
      </c>
      <c r="G672">
        <v>52.211872</v>
      </c>
      <c r="H672">
        <v>21.032295999999999</v>
      </c>
      <c r="I672" t="s">
        <v>22</v>
      </c>
      <c r="J672" s="12">
        <v>45402</v>
      </c>
      <c r="K672" t="s">
        <v>6</v>
      </c>
    </row>
    <row r="673" spans="1:11" x14ac:dyDescent="0.3">
      <c r="A673">
        <v>792</v>
      </c>
      <c r="B673" t="s">
        <v>58</v>
      </c>
      <c r="C673" t="s">
        <v>4</v>
      </c>
      <c r="D673">
        <v>776</v>
      </c>
      <c r="E673">
        <v>294</v>
      </c>
      <c r="F673" t="s">
        <v>59</v>
      </c>
      <c r="G673">
        <v>52.805298999999998</v>
      </c>
      <c r="H673">
        <v>23.701093</v>
      </c>
      <c r="I673" t="s">
        <v>61</v>
      </c>
      <c r="J673" s="12">
        <v>45403</v>
      </c>
      <c r="K673" t="s">
        <v>6</v>
      </c>
    </row>
    <row r="674" spans="1:11" x14ac:dyDescent="0.3">
      <c r="A674">
        <v>793</v>
      </c>
      <c r="B674" t="s">
        <v>65</v>
      </c>
      <c r="C674" t="s">
        <v>13</v>
      </c>
      <c r="D674">
        <v>0.8</v>
      </c>
      <c r="E674">
        <v>18</v>
      </c>
      <c r="F674" t="s">
        <v>59</v>
      </c>
      <c r="G674">
        <v>48.186208000000001</v>
      </c>
      <c r="H674">
        <v>17.089749000000001</v>
      </c>
      <c r="I674" t="s">
        <v>61</v>
      </c>
      <c r="J674" s="12">
        <v>45403</v>
      </c>
      <c r="K674" t="s">
        <v>14</v>
      </c>
    </row>
    <row r="675" spans="1:11" x14ac:dyDescent="0.3">
      <c r="A675">
        <v>794</v>
      </c>
      <c r="B675" t="s">
        <v>64</v>
      </c>
      <c r="C675" t="s">
        <v>4</v>
      </c>
      <c r="D675">
        <v>0.30599999999999999</v>
      </c>
      <c r="E675">
        <v>19</v>
      </c>
      <c r="F675" t="s">
        <v>62</v>
      </c>
      <c r="G675">
        <v>52.212605000000003</v>
      </c>
      <c r="H675">
        <v>21.033877</v>
      </c>
      <c r="I675" t="s">
        <v>61</v>
      </c>
      <c r="J675" s="12">
        <v>45404</v>
      </c>
      <c r="K675" t="s">
        <v>6</v>
      </c>
    </row>
    <row r="676" spans="1:11" x14ac:dyDescent="0.3">
      <c r="A676">
        <v>795</v>
      </c>
      <c r="B676" t="s">
        <v>64</v>
      </c>
      <c r="C676" t="s">
        <v>4</v>
      </c>
      <c r="D676">
        <v>0.34899999999999998</v>
      </c>
      <c r="E676">
        <v>20</v>
      </c>
      <c r="F676" t="s">
        <v>62</v>
      </c>
      <c r="G676">
        <v>52.212001000000001</v>
      </c>
      <c r="H676">
        <v>21.033902999999999</v>
      </c>
      <c r="I676" t="s">
        <v>61</v>
      </c>
      <c r="J676" s="12">
        <v>45404</v>
      </c>
      <c r="K676" t="s">
        <v>6</v>
      </c>
    </row>
    <row r="677" spans="1:11" x14ac:dyDescent="0.3">
      <c r="A677">
        <v>796</v>
      </c>
      <c r="B677" t="s">
        <v>63</v>
      </c>
      <c r="C677" t="s">
        <v>15</v>
      </c>
      <c r="D677">
        <v>23</v>
      </c>
      <c r="E677">
        <v>78</v>
      </c>
      <c r="F677" t="s">
        <v>59</v>
      </c>
      <c r="G677">
        <v>50.882931999999997</v>
      </c>
      <c r="H677">
        <v>14.366823999999999</v>
      </c>
      <c r="I677" t="s">
        <v>61</v>
      </c>
      <c r="J677" s="12">
        <v>45404</v>
      </c>
      <c r="K677" t="s">
        <v>14</v>
      </c>
    </row>
    <row r="678" spans="1:11" x14ac:dyDescent="0.3">
      <c r="A678">
        <v>799</v>
      </c>
      <c r="B678" t="s">
        <v>65</v>
      </c>
      <c r="C678" t="s">
        <v>13</v>
      </c>
      <c r="D678">
        <v>0.7</v>
      </c>
      <c r="E678">
        <v>16</v>
      </c>
      <c r="F678" t="s">
        <v>59</v>
      </c>
      <c r="G678">
        <v>48.184230999999997</v>
      </c>
      <c r="H678">
        <v>17.091694</v>
      </c>
      <c r="I678" t="s">
        <v>61</v>
      </c>
      <c r="J678" s="12">
        <v>45405</v>
      </c>
      <c r="K678" t="s">
        <v>14</v>
      </c>
    </row>
    <row r="679" spans="1:11" x14ac:dyDescent="0.3">
      <c r="A679">
        <v>800</v>
      </c>
      <c r="B679" t="s">
        <v>58</v>
      </c>
      <c r="C679" t="s">
        <v>4</v>
      </c>
      <c r="D679">
        <v>650</v>
      </c>
      <c r="E679">
        <v>286</v>
      </c>
      <c r="F679" t="s">
        <v>62</v>
      </c>
      <c r="G679">
        <v>52.812486</v>
      </c>
      <c r="H679">
        <v>23.686230999999999</v>
      </c>
      <c r="I679" t="s">
        <v>61</v>
      </c>
      <c r="J679" s="12">
        <v>45406</v>
      </c>
      <c r="K679" t="s">
        <v>6</v>
      </c>
    </row>
    <row r="680" spans="1:11" x14ac:dyDescent="0.3">
      <c r="A680">
        <v>801</v>
      </c>
      <c r="B680" t="s">
        <v>64</v>
      </c>
      <c r="C680" t="s">
        <v>4</v>
      </c>
      <c r="D680">
        <v>0.27100000000000002</v>
      </c>
      <c r="E680">
        <v>19</v>
      </c>
      <c r="F680" t="s">
        <v>62</v>
      </c>
      <c r="G680">
        <v>52.211796999999997</v>
      </c>
      <c r="H680">
        <v>21.032857</v>
      </c>
      <c r="I680" t="s">
        <v>61</v>
      </c>
      <c r="J680" s="12">
        <v>45406</v>
      </c>
      <c r="K680" t="s">
        <v>6</v>
      </c>
    </row>
    <row r="681" spans="1:11" x14ac:dyDescent="0.3">
      <c r="A681">
        <v>802</v>
      </c>
      <c r="B681" t="s">
        <v>64</v>
      </c>
      <c r="C681" t="s">
        <v>4</v>
      </c>
      <c r="D681">
        <v>0.32900000000000001</v>
      </c>
      <c r="E681">
        <v>24</v>
      </c>
      <c r="F681" t="s">
        <v>62</v>
      </c>
      <c r="G681">
        <v>52.212045000000003</v>
      </c>
      <c r="H681">
        <v>21.031986</v>
      </c>
      <c r="I681" t="s">
        <v>61</v>
      </c>
      <c r="J681" s="12">
        <v>45406</v>
      </c>
      <c r="K681" t="s">
        <v>6</v>
      </c>
    </row>
    <row r="682" spans="1:11" x14ac:dyDescent="0.3">
      <c r="A682">
        <v>803</v>
      </c>
      <c r="B682" t="s">
        <v>63</v>
      </c>
      <c r="C682" t="s">
        <v>17</v>
      </c>
      <c r="D682">
        <v>20</v>
      </c>
      <c r="E682">
        <v>90</v>
      </c>
      <c r="F682" t="s">
        <v>59</v>
      </c>
      <c r="G682">
        <v>47.781188</v>
      </c>
      <c r="H682">
        <v>14.385356</v>
      </c>
      <c r="I682" t="s">
        <v>61</v>
      </c>
      <c r="J682" s="12">
        <v>45406</v>
      </c>
      <c r="K682" t="s">
        <v>12</v>
      </c>
    </row>
    <row r="683" spans="1:11" x14ac:dyDescent="0.3">
      <c r="A683">
        <v>804</v>
      </c>
      <c r="B683" t="s">
        <v>63</v>
      </c>
      <c r="C683" t="s">
        <v>17</v>
      </c>
      <c r="D683">
        <v>26</v>
      </c>
      <c r="E683">
        <v>91</v>
      </c>
      <c r="F683" t="s">
        <v>62</v>
      </c>
      <c r="G683">
        <v>47.780999000000001</v>
      </c>
      <c r="H683">
        <v>14.38212</v>
      </c>
      <c r="I683" t="s">
        <v>61</v>
      </c>
      <c r="J683" s="12">
        <v>45406</v>
      </c>
      <c r="K683" t="s">
        <v>12</v>
      </c>
    </row>
    <row r="684" spans="1:11" x14ac:dyDescent="0.3">
      <c r="A684">
        <v>805</v>
      </c>
      <c r="B684" t="s">
        <v>65</v>
      </c>
      <c r="C684" t="s">
        <v>13</v>
      </c>
      <c r="D684">
        <v>0.6</v>
      </c>
      <c r="E684">
        <v>15</v>
      </c>
      <c r="F684" t="s">
        <v>62</v>
      </c>
      <c r="G684">
        <v>48.185648</v>
      </c>
      <c r="H684">
        <v>17.083763000000001</v>
      </c>
      <c r="I684" t="s">
        <v>61</v>
      </c>
      <c r="J684" s="12">
        <v>45406</v>
      </c>
      <c r="K684" t="s">
        <v>14</v>
      </c>
    </row>
    <row r="685" spans="1:11" x14ac:dyDescent="0.3">
      <c r="A685">
        <v>808</v>
      </c>
      <c r="B685" t="s">
        <v>63</v>
      </c>
      <c r="C685" t="s">
        <v>4</v>
      </c>
      <c r="D685">
        <v>14</v>
      </c>
      <c r="E685">
        <v>65</v>
      </c>
      <c r="F685" t="s">
        <v>62</v>
      </c>
      <c r="G685">
        <v>52.851841</v>
      </c>
      <c r="H685">
        <v>23.891580000000001</v>
      </c>
      <c r="I685" t="s">
        <v>61</v>
      </c>
      <c r="J685" s="12">
        <v>45407</v>
      </c>
      <c r="K685" t="s">
        <v>6</v>
      </c>
    </row>
    <row r="686" spans="1:11" x14ac:dyDescent="0.3">
      <c r="A686">
        <v>809</v>
      </c>
      <c r="B686" t="s">
        <v>64</v>
      </c>
      <c r="C686" t="s">
        <v>4</v>
      </c>
      <c r="D686">
        <v>0.311</v>
      </c>
      <c r="E686">
        <v>21</v>
      </c>
      <c r="F686" t="s">
        <v>59</v>
      </c>
      <c r="G686">
        <v>52.212203000000002</v>
      </c>
      <c r="H686">
        <v>21.032278999999999</v>
      </c>
      <c r="I686" t="s">
        <v>61</v>
      </c>
      <c r="J686" s="12">
        <v>45407</v>
      </c>
      <c r="K686" t="s">
        <v>6</v>
      </c>
    </row>
    <row r="687" spans="1:11" x14ac:dyDescent="0.3">
      <c r="A687">
        <v>811</v>
      </c>
      <c r="B687" t="s">
        <v>65</v>
      </c>
      <c r="C687" t="s">
        <v>13</v>
      </c>
      <c r="D687">
        <v>0.7</v>
      </c>
      <c r="E687">
        <v>16</v>
      </c>
      <c r="F687" t="s">
        <v>59</v>
      </c>
      <c r="G687">
        <v>48.185433000000003</v>
      </c>
      <c r="H687">
        <v>17.086216</v>
      </c>
      <c r="I687" t="s">
        <v>61</v>
      </c>
      <c r="J687" s="12">
        <v>45408</v>
      </c>
      <c r="K687" t="s">
        <v>14</v>
      </c>
    </row>
    <row r="688" spans="1:11" x14ac:dyDescent="0.3">
      <c r="A688">
        <v>812</v>
      </c>
      <c r="B688" t="s">
        <v>64</v>
      </c>
      <c r="C688" t="s">
        <v>4</v>
      </c>
      <c r="D688">
        <v>0.28999999999999998</v>
      </c>
      <c r="E688">
        <v>24</v>
      </c>
      <c r="F688" t="s">
        <v>62</v>
      </c>
      <c r="G688">
        <v>52.212763000000002</v>
      </c>
      <c r="H688">
        <v>21.032786000000002</v>
      </c>
      <c r="I688" t="s">
        <v>61</v>
      </c>
      <c r="J688" s="12">
        <v>45409</v>
      </c>
      <c r="K688" t="s">
        <v>6</v>
      </c>
    </row>
    <row r="689" spans="1:11" x14ac:dyDescent="0.3">
      <c r="A689">
        <v>813</v>
      </c>
      <c r="B689" t="s">
        <v>65</v>
      </c>
      <c r="C689" t="s">
        <v>13</v>
      </c>
      <c r="D689">
        <v>1.2</v>
      </c>
      <c r="E689">
        <v>22</v>
      </c>
      <c r="F689" t="s">
        <v>59</v>
      </c>
      <c r="G689">
        <v>48.186912999999997</v>
      </c>
      <c r="H689">
        <v>17.088173999999999</v>
      </c>
      <c r="I689" t="s">
        <v>61</v>
      </c>
      <c r="J689" s="12">
        <v>45409</v>
      </c>
      <c r="K689" t="s">
        <v>14</v>
      </c>
    </row>
    <row r="690" spans="1:11" x14ac:dyDescent="0.3">
      <c r="A690">
        <v>814</v>
      </c>
      <c r="B690" t="s">
        <v>65</v>
      </c>
      <c r="C690" t="s">
        <v>13</v>
      </c>
      <c r="D690">
        <v>0.7</v>
      </c>
      <c r="E690">
        <v>24</v>
      </c>
      <c r="F690" t="s">
        <v>62</v>
      </c>
      <c r="G690">
        <v>48.185648999999998</v>
      </c>
      <c r="H690">
        <v>17.088833999999999</v>
      </c>
      <c r="I690" t="s">
        <v>61</v>
      </c>
      <c r="J690" s="12">
        <v>45409</v>
      </c>
      <c r="K690" t="s">
        <v>14</v>
      </c>
    </row>
    <row r="691" spans="1:11" x14ac:dyDescent="0.3">
      <c r="A691">
        <v>816</v>
      </c>
      <c r="B691" t="s">
        <v>63</v>
      </c>
      <c r="C691" t="s">
        <v>4</v>
      </c>
      <c r="D691">
        <v>12</v>
      </c>
      <c r="E691">
        <v>52</v>
      </c>
      <c r="F691" t="s">
        <v>59</v>
      </c>
      <c r="G691">
        <v>52.848213999999999</v>
      </c>
      <c r="H691">
        <v>23.891978000000002</v>
      </c>
      <c r="I691" t="s">
        <v>61</v>
      </c>
      <c r="J691" s="12">
        <v>45410</v>
      </c>
      <c r="K691" t="s">
        <v>6</v>
      </c>
    </row>
    <row r="692" spans="1:11" x14ac:dyDescent="0.3">
      <c r="A692">
        <v>817</v>
      </c>
      <c r="B692" t="s">
        <v>63</v>
      </c>
      <c r="C692" t="s">
        <v>4</v>
      </c>
      <c r="D692">
        <v>27</v>
      </c>
      <c r="E692">
        <v>95</v>
      </c>
      <c r="F692" t="s">
        <v>62</v>
      </c>
      <c r="G692">
        <v>52.853842999999998</v>
      </c>
      <c r="H692">
        <v>23.919668000000001</v>
      </c>
      <c r="I692" t="s">
        <v>61</v>
      </c>
      <c r="J692" s="12">
        <v>45410</v>
      </c>
      <c r="K692" t="s">
        <v>6</v>
      </c>
    </row>
    <row r="693" spans="1:11" x14ac:dyDescent="0.3">
      <c r="A693">
        <v>818</v>
      </c>
      <c r="B693" t="s">
        <v>64</v>
      </c>
      <c r="C693" t="s">
        <v>4</v>
      </c>
      <c r="D693">
        <v>0.312</v>
      </c>
      <c r="E693">
        <v>23</v>
      </c>
      <c r="F693" t="s">
        <v>59</v>
      </c>
      <c r="G693">
        <v>52.212119999999999</v>
      </c>
      <c r="H693">
        <v>21.034268000000001</v>
      </c>
      <c r="I693" t="s">
        <v>61</v>
      </c>
      <c r="J693" s="12">
        <v>45410</v>
      </c>
      <c r="K693" t="s">
        <v>6</v>
      </c>
    </row>
    <row r="694" spans="1:11" x14ac:dyDescent="0.3">
      <c r="A694">
        <v>819</v>
      </c>
      <c r="B694" t="s">
        <v>65</v>
      </c>
      <c r="C694" t="s">
        <v>11</v>
      </c>
      <c r="D694">
        <v>0.5</v>
      </c>
      <c r="E694">
        <v>20</v>
      </c>
      <c r="F694" t="s">
        <v>59</v>
      </c>
      <c r="G694">
        <v>49.553240000000002</v>
      </c>
      <c r="H694">
        <v>11.074007999999999</v>
      </c>
      <c r="I694" t="s">
        <v>61</v>
      </c>
      <c r="J694" s="12">
        <v>45410</v>
      </c>
      <c r="K694" t="s">
        <v>12</v>
      </c>
    </row>
    <row r="695" spans="1:11" x14ac:dyDescent="0.3">
      <c r="A695">
        <v>820</v>
      </c>
      <c r="B695" t="s">
        <v>65</v>
      </c>
      <c r="C695" t="s">
        <v>11</v>
      </c>
      <c r="D695">
        <v>1.1000000000000001</v>
      </c>
      <c r="E695">
        <v>20</v>
      </c>
      <c r="F695" t="s">
        <v>62</v>
      </c>
      <c r="G695">
        <v>49.551561999999997</v>
      </c>
      <c r="H695">
        <v>11.081737</v>
      </c>
      <c r="I695" t="s">
        <v>61</v>
      </c>
      <c r="J695" s="12">
        <v>45410</v>
      </c>
      <c r="K695" t="s">
        <v>12</v>
      </c>
    </row>
    <row r="696" spans="1:11" x14ac:dyDescent="0.3">
      <c r="A696">
        <v>821</v>
      </c>
      <c r="B696" t="s">
        <v>65</v>
      </c>
      <c r="C696" t="s">
        <v>11</v>
      </c>
      <c r="D696">
        <v>0.6</v>
      </c>
      <c r="E696">
        <v>18</v>
      </c>
      <c r="F696" t="s">
        <v>59</v>
      </c>
      <c r="G696">
        <v>49.547376</v>
      </c>
      <c r="H696">
        <v>11.079529000000001</v>
      </c>
      <c r="I696" t="s">
        <v>61</v>
      </c>
      <c r="J696" s="12">
        <v>45410</v>
      </c>
      <c r="K696" t="s">
        <v>12</v>
      </c>
    </row>
    <row r="697" spans="1:11" x14ac:dyDescent="0.3">
      <c r="A697">
        <v>822</v>
      </c>
      <c r="B697" t="s">
        <v>65</v>
      </c>
      <c r="C697" t="s">
        <v>11</v>
      </c>
      <c r="D697">
        <v>0.8</v>
      </c>
      <c r="E697">
        <v>20</v>
      </c>
      <c r="F697" t="s">
        <v>59</v>
      </c>
      <c r="G697">
        <v>49.560178000000001</v>
      </c>
      <c r="H697">
        <v>11.093259</v>
      </c>
      <c r="I697" t="s">
        <v>61</v>
      </c>
      <c r="J697" s="12">
        <v>45410</v>
      </c>
      <c r="K697" t="s">
        <v>12</v>
      </c>
    </row>
    <row r="698" spans="1:11" x14ac:dyDescent="0.3">
      <c r="A698">
        <v>823</v>
      </c>
      <c r="B698" t="s">
        <v>65</v>
      </c>
      <c r="C698" t="s">
        <v>11</v>
      </c>
      <c r="D698">
        <v>0.8</v>
      </c>
      <c r="E698">
        <v>19</v>
      </c>
      <c r="F698" t="s">
        <v>59</v>
      </c>
      <c r="G698">
        <v>49.558968</v>
      </c>
      <c r="H698">
        <v>11.106642000000001</v>
      </c>
      <c r="I698" t="s">
        <v>61</v>
      </c>
      <c r="J698" s="12">
        <v>45410</v>
      </c>
      <c r="K698" t="s">
        <v>12</v>
      </c>
    </row>
    <row r="699" spans="1:11" x14ac:dyDescent="0.3">
      <c r="A699">
        <v>824</v>
      </c>
      <c r="B699" t="s">
        <v>65</v>
      </c>
      <c r="C699" t="s">
        <v>13</v>
      </c>
      <c r="D699">
        <v>0.9</v>
      </c>
      <c r="E699">
        <v>20</v>
      </c>
      <c r="F699" t="s">
        <v>59</v>
      </c>
      <c r="G699">
        <v>48.186369999999997</v>
      </c>
      <c r="H699">
        <v>17.090384</v>
      </c>
      <c r="I699" t="s">
        <v>61</v>
      </c>
      <c r="J699" s="12">
        <v>45410</v>
      </c>
      <c r="K699" t="s">
        <v>14</v>
      </c>
    </row>
    <row r="700" spans="1:11" x14ac:dyDescent="0.3">
      <c r="A700">
        <v>826</v>
      </c>
      <c r="B700" t="s">
        <v>65</v>
      </c>
      <c r="C700" t="s">
        <v>7</v>
      </c>
      <c r="D700">
        <v>0.6</v>
      </c>
      <c r="E700">
        <v>16</v>
      </c>
      <c r="F700" t="s">
        <v>62</v>
      </c>
      <c r="G700">
        <v>47.506034999999997</v>
      </c>
      <c r="H700">
        <v>18.944527999999998</v>
      </c>
      <c r="I700" t="s">
        <v>61</v>
      </c>
      <c r="J700" s="12">
        <v>45411</v>
      </c>
      <c r="K700" t="s">
        <v>6</v>
      </c>
    </row>
    <row r="701" spans="1:11" x14ac:dyDescent="0.3">
      <c r="A701">
        <v>827</v>
      </c>
      <c r="B701" t="s">
        <v>64</v>
      </c>
      <c r="C701" t="s">
        <v>4</v>
      </c>
      <c r="D701">
        <v>0.27</v>
      </c>
      <c r="E701">
        <v>21</v>
      </c>
      <c r="F701" t="s">
        <v>62</v>
      </c>
      <c r="G701">
        <v>52.212389999999999</v>
      </c>
      <c r="H701">
        <v>21.034548000000001</v>
      </c>
      <c r="I701" t="s">
        <v>8</v>
      </c>
      <c r="J701" s="12">
        <v>45411</v>
      </c>
      <c r="K701" t="s">
        <v>6</v>
      </c>
    </row>
    <row r="702" spans="1:11" x14ac:dyDescent="0.3">
      <c r="A702">
        <v>828</v>
      </c>
      <c r="B702" t="s">
        <v>65</v>
      </c>
      <c r="C702" t="s">
        <v>13</v>
      </c>
      <c r="D702">
        <v>1.1000000000000001</v>
      </c>
      <c r="E702">
        <v>23</v>
      </c>
      <c r="F702" t="s">
        <v>59</v>
      </c>
      <c r="G702">
        <v>48.183847999999998</v>
      </c>
      <c r="H702">
        <v>17.082806000000001</v>
      </c>
      <c r="I702" t="s">
        <v>61</v>
      </c>
      <c r="J702" s="12">
        <v>45411</v>
      </c>
      <c r="K702" t="s">
        <v>14</v>
      </c>
    </row>
    <row r="703" spans="1:11" x14ac:dyDescent="0.3">
      <c r="A703">
        <v>829</v>
      </c>
      <c r="B703" t="s">
        <v>63</v>
      </c>
      <c r="C703" t="s">
        <v>13</v>
      </c>
      <c r="D703">
        <v>22</v>
      </c>
      <c r="E703">
        <v>73</v>
      </c>
      <c r="F703" t="s">
        <v>59</v>
      </c>
      <c r="G703">
        <v>48.410550999999998</v>
      </c>
      <c r="H703">
        <v>18.864865999999999</v>
      </c>
      <c r="I703" t="s">
        <v>61</v>
      </c>
      <c r="J703" s="12">
        <v>45411</v>
      </c>
      <c r="K703" t="s">
        <v>14</v>
      </c>
    </row>
    <row r="704" spans="1:11" x14ac:dyDescent="0.3">
      <c r="A704">
        <v>831</v>
      </c>
      <c r="B704" t="s">
        <v>64</v>
      </c>
      <c r="C704" t="s">
        <v>4</v>
      </c>
      <c r="D704">
        <v>0.29199999999999998</v>
      </c>
      <c r="E704">
        <v>20</v>
      </c>
      <c r="F704" t="s">
        <v>62</v>
      </c>
      <c r="G704">
        <v>52.212432999999997</v>
      </c>
      <c r="H704">
        <v>21.032495999999998</v>
      </c>
      <c r="I704" t="s">
        <v>61</v>
      </c>
      <c r="J704" s="12">
        <v>45412</v>
      </c>
      <c r="K704" t="s">
        <v>6</v>
      </c>
    </row>
    <row r="705" spans="1:11" x14ac:dyDescent="0.3">
      <c r="A705">
        <v>834</v>
      </c>
      <c r="B705" t="s">
        <v>64</v>
      </c>
      <c r="C705" t="s">
        <v>4</v>
      </c>
      <c r="D705">
        <v>0.30499999999999999</v>
      </c>
      <c r="E705">
        <v>19</v>
      </c>
      <c r="F705" t="s">
        <v>62</v>
      </c>
      <c r="G705">
        <v>52.212746000000003</v>
      </c>
      <c r="H705">
        <v>21.033832</v>
      </c>
      <c r="I705" t="s">
        <v>61</v>
      </c>
      <c r="J705" s="12">
        <v>45421</v>
      </c>
      <c r="K705" t="s">
        <v>6</v>
      </c>
    </row>
    <row r="706" spans="1:11" x14ac:dyDescent="0.3">
      <c r="A706">
        <v>835</v>
      </c>
      <c r="B706" t="s">
        <v>65</v>
      </c>
      <c r="C706" t="s">
        <v>13</v>
      </c>
      <c r="D706">
        <v>0.7</v>
      </c>
      <c r="E706">
        <v>22</v>
      </c>
      <c r="F706" t="s">
        <v>59</v>
      </c>
      <c r="G706">
        <v>48.232759999999999</v>
      </c>
      <c r="H706">
        <v>17.069049</v>
      </c>
      <c r="I706" t="s">
        <v>61</v>
      </c>
      <c r="J706" s="12">
        <v>45421</v>
      </c>
      <c r="K706" t="s">
        <v>14</v>
      </c>
    </row>
    <row r="707" spans="1:11" x14ac:dyDescent="0.3">
      <c r="A707">
        <v>837</v>
      </c>
      <c r="B707" t="s">
        <v>65</v>
      </c>
      <c r="C707" t="s">
        <v>7</v>
      </c>
      <c r="D707">
        <v>0.7</v>
      </c>
      <c r="E707">
        <v>16</v>
      </c>
      <c r="F707" t="s">
        <v>59</v>
      </c>
      <c r="G707">
        <v>47.509594999999997</v>
      </c>
      <c r="H707">
        <v>18.939751000000001</v>
      </c>
      <c r="I707" t="s">
        <v>61</v>
      </c>
      <c r="J707" s="12">
        <v>45422</v>
      </c>
      <c r="K707" t="s">
        <v>6</v>
      </c>
    </row>
    <row r="708" spans="1:11" x14ac:dyDescent="0.3">
      <c r="A708">
        <v>838</v>
      </c>
      <c r="B708" t="s">
        <v>65</v>
      </c>
      <c r="C708" t="s">
        <v>7</v>
      </c>
      <c r="D708">
        <v>1</v>
      </c>
      <c r="E708">
        <v>20</v>
      </c>
      <c r="F708" t="s">
        <v>59</v>
      </c>
      <c r="G708">
        <v>47.511301000000003</v>
      </c>
      <c r="H708">
        <v>18.93974</v>
      </c>
      <c r="I708" t="s">
        <v>61</v>
      </c>
      <c r="J708" s="12">
        <v>45422</v>
      </c>
      <c r="K708" t="s">
        <v>6</v>
      </c>
    </row>
    <row r="709" spans="1:11" x14ac:dyDescent="0.3">
      <c r="A709">
        <v>839</v>
      </c>
      <c r="B709" t="s">
        <v>64</v>
      </c>
      <c r="C709" t="s">
        <v>4</v>
      </c>
      <c r="D709">
        <v>0.26400000000000001</v>
      </c>
      <c r="E709">
        <v>21</v>
      </c>
      <c r="F709" t="s">
        <v>59</v>
      </c>
      <c r="G709">
        <v>52.212147999999999</v>
      </c>
      <c r="H709">
        <v>21.033421000000001</v>
      </c>
      <c r="I709" t="s">
        <v>61</v>
      </c>
      <c r="J709" s="12">
        <v>45423</v>
      </c>
      <c r="K709" t="s">
        <v>6</v>
      </c>
    </row>
    <row r="710" spans="1:11" x14ac:dyDescent="0.3">
      <c r="A710">
        <v>840</v>
      </c>
      <c r="B710" t="s">
        <v>65</v>
      </c>
      <c r="C710" t="s">
        <v>11</v>
      </c>
      <c r="D710">
        <v>0.7</v>
      </c>
      <c r="E710">
        <v>24</v>
      </c>
      <c r="F710" t="s">
        <v>59</v>
      </c>
      <c r="G710">
        <v>49.560229999999997</v>
      </c>
      <c r="H710">
        <v>11.102233</v>
      </c>
      <c r="I710" t="s">
        <v>61</v>
      </c>
      <c r="J710" s="12">
        <v>45423</v>
      </c>
      <c r="K710" t="s">
        <v>12</v>
      </c>
    </row>
    <row r="711" spans="1:11" x14ac:dyDescent="0.3">
      <c r="A711">
        <v>841</v>
      </c>
      <c r="B711" t="s">
        <v>65</v>
      </c>
      <c r="C711" t="s">
        <v>11</v>
      </c>
      <c r="D711">
        <v>1.1000000000000001</v>
      </c>
      <c r="E711">
        <v>19</v>
      </c>
      <c r="F711" t="s">
        <v>62</v>
      </c>
      <c r="G711">
        <v>49.548409999999997</v>
      </c>
      <c r="H711">
        <v>11.078249</v>
      </c>
      <c r="I711" t="s">
        <v>61</v>
      </c>
      <c r="J711" s="12">
        <v>45423</v>
      </c>
      <c r="K711" t="s">
        <v>12</v>
      </c>
    </row>
    <row r="712" spans="1:11" x14ac:dyDescent="0.3">
      <c r="A712">
        <v>842</v>
      </c>
      <c r="B712" t="s">
        <v>65</v>
      </c>
      <c r="C712" t="s">
        <v>13</v>
      </c>
      <c r="D712">
        <v>0.8</v>
      </c>
      <c r="E712">
        <v>24</v>
      </c>
      <c r="F712" t="s">
        <v>62</v>
      </c>
      <c r="G712">
        <v>48.239628000000003</v>
      </c>
      <c r="H712">
        <v>17.087298000000001</v>
      </c>
      <c r="I712" t="s">
        <v>61</v>
      </c>
      <c r="J712" s="12">
        <v>45423</v>
      </c>
      <c r="K712" t="s">
        <v>14</v>
      </c>
    </row>
    <row r="713" spans="1:11" x14ac:dyDescent="0.3">
      <c r="A713">
        <v>844</v>
      </c>
      <c r="B713" t="s">
        <v>65</v>
      </c>
      <c r="C713" t="s">
        <v>7</v>
      </c>
      <c r="D713">
        <v>1</v>
      </c>
      <c r="E713">
        <v>23</v>
      </c>
      <c r="F713" t="s">
        <v>62</v>
      </c>
      <c r="G713">
        <v>47.507376000000001</v>
      </c>
      <c r="H713">
        <v>18.939599999999999</v>
      </c>
      <c r="I713" t="s">
        <v>61</v>
      </c>
      <c r="J713" s="12">
        <v>45424</v>
      </c>
      <c r="K713" t="s">
        <v>6</v>
      </c>
    </row>
    <row r="714" spans="1:11" x14ac:dyDescent="0.3">
      <c r="A714">
        <v>845</v>
      </c>
      <c r="B714" t="s">
        <v>64</v>
      </c>
      <c r="C714" t="s">
        <v>4</v>
      </c>
      <c r="D714">
        <v>0.26600000000000001</v>
      </c>
      <c r="E714">
        <v>20</v>
      </c>
      <c r="F714" t="s">
        <v>59</v>
      </c>
      <c r="G714">
        <v>52.212429</v>
      </c>
      <c r="H714">
        <v>21.032435</v>
      </c>
      <c r="I714" t="s">
        <v>61</v>
      </c>
      <c r="J714" s="12">
        <v>45424</v>
      </c>
      <c r="K714" t="s">
        <v>6</v>
      </c>
    </row>
    <row r="715" spans="1:11" x14ac:dyDescent="0.3">
      <c r="A715">
        <v>846</v>
      </c>
      <c r="B715" t="s">
        <v>65</v>
      </c>
      <c r="C715" t="s">
        <v>13</v>
      </c>
      <c r="D715">
        <v>0.5</v>
      </c>
      <c r="E715">
        <v>19</v>
      </c>
      <c r="F715" t="s">
        <v>59</v>
      </c>
      <c r="G715">
        <v>48.231938999999997</v>
      </c>
      <c r="H715">
        <v>17.087688</v>
      </c>
      <c r="I715" t="s">
        <v>61</v>
      </c>
      <c r="J715" s="12">
        <v>45424</v>
      </c>
      <c r="K715" t="s">
        <v>14</v>
      </c>
    </row>
    <row r="716" spans="1:11" x14ac:dyDescent="0.3">
      <c r="A716">
        <v>848</v>
      </c>
      <c r="B716" t="s">
        <v>64</v>
      </c>
      <c r="C716" t="s">
        <v>4</v>
      </c>
      <c r="D716">
        <v>0.26600000000000001</v>
      </c>
      <c r="E716">
        <v>21</v>
      </c>
      <c r="F716" t="s">
        <v>62</v>
      </c>
      <c r="G716">
        <v>52.21284</v>
      </c>
      <c r="H716">
        <v>21.034376999999999</v>
      </c>
      <c r="I716" t="s">
        <v>61</v>
      </c>
      <c r="J716" s="12">
        <v>45425</v>
      </c>
      <c r="K716" t="s">
        <v>6</v>
      </c>
    </row>
    <row r="717" spans="1:11" x14ac:dyDescent="0.3">
      <c r="A717">
        <v>849</v>
      </c>
      <c r="B717" t="s">
        <v>64</v>
      </c>
      <c r="C717" t="s">
        <v>4</v>
      </c>
      <c r="D717">
        <v>0.317</v>
      </c>
      <c r="E717">
        <v>20</v>
      </c>
      <c r="F717" t="s">
        <v>62</v>
      </c>
      <c r="G717">
        <v>52.212162999999997</v>
      </c>
      <c r="H717">
        <v>21.032633000000001</v>
      </c>
      <c r="I717" t="s">
        <v>61</v>
      </c>
      <c r="J717" s="12">
        <v>45425</v>
      </c>
      <c r="K717" t="s">
        <v>6</v>
      </c>
    </row>
    <row r="718" spans="1:11" x14ac:dyDescent="0.3">
      <c r="A718">
        <v>850</v>
      </c>
      <c r="B718" t="s">
        <v>65</v>
      </c>
      <c r="C718" t="s">
        <v>13</v>
      </c>
      <c r="D718">
        <v>1</v>
      </c>
      <c r="E718">
        <v>18</v>
      </c>
      <c r="F718" t="s">
        <v>59</v>
      </c>
      <c r="G718">
        <v>48.225014000000002</v>
      </c>
      <c r="H718">
        <v>17.081448999999999</v>
      </c>
      <c r="I718" t="s">
        <v>61</v>
      </c>
      <c r="J718" s="12">
        <v>45425</v>
      </c>
      <c r="K718" t="s">
        <v>14</v>
      </c>
    </row>
    <row r="719" spans="1:11" x14ac:dyDescent="0.3">
      <c r="A719">
        <v>853</v>
      </c>
      <c r="B719" t="s">
        <v>65</v>
      </c>
      <c r="C719" t="s">
        <v>7</v>
      </c>
      <c r="D719">
        <v>0.6</v>
      </c>
      <c r="E719">
        <v>17</v>
      </c>
      <c r="F719" t="s">
        <v>62</v>
      </c>
      <c r="G719">
        <v>47.506310999999997</v>
      </c>
      <c r="H719">
        <v>18.947371</v>
      </c>
      <c r="I719" t="s">
        <v>61</v>
      </c>
      <c r="J719" s="12">
        <v>45426</v>
      </c>
      <c r="K719" t="s">
        <v>6</v>
      </c>
    </row>
    <row r="720" spans="1:11" x14ac:dyDescent="0.3">
      <c r="A720">
        <v>854</v>
      </c>
      <c r="B720" t="s">
        <v>64</v>
      </c>
      <c r="C720" t="s">
        <v>4</v>
      </c>
      <c r="D720">
        <v>0.27</v>
      </c>
      <c r="E720">
        <v>23</v>
      </c>
      <c r="F720" t="s">
        <v>62</v>
      </c>
      <c r="G720">
        <v>52.212553</v>
      </c>
      <c r="H720">
        <v>21.032768000000001</v>
      </c>
      <c r="I720" t="s">
        <v>61</v>
      </c>
      <c r="J720" s="12">
        <v>45426</v>
      </c>
      <c r="K720" t="s">
        <v>6</v>
      </c>
    </row>
    <row r="721" spans="1:11" x14ac:dyDescent="0.3">
      <c r="A721">
        <v>855</v>
      </c>
      <c r="B721" t="s">
        <v>65</v>
      </c>
      <c r="C721" t="s">
        <v>13</v>
      </c>
      <c r="D721">
        <v>0.7</v>
      </c>
      <c r="E721">
        <v>22</v>
      </c>
      <c r="F721" t="s">
        <v>62</v>
      </c>
      <c r="G721">
        <v>48.225116</v>
      </c>
      <c r="H721">
        <v>17.086407999999999</v>
      </c>
      <c r="I721" t="s">
        <v>61</v>
      </c>
      <c r="J721" s="12">
        <v>45426</v>
      </c>
      <c r="K721" t="s">
        <v>14</v>
      </c>
    </row>
    <row r="722" spans="1:11" x14ac:dyDescent="0.3">
      <c r="A722">
        <v>857</v>
      </c>
      <c r="B722" t="s">
        <v>64</v>
      </c>
      <c r="C722" t="s">
        <v>4</v>
      </c>
      <c r="D722">
        <v>0.27900000000000003</v>
      </c>
      <c r="E722">
        <v>22</v>
      </c>
      <c r="F722" t="s">
        <v>59</v>
      </c>
      <c r="G722">
        <v>52.212411000000003</v>
      </c>
      <c r="H722">
        <v>21.033173000000001</v>
      </c>
      <c r="I722" t="s">
        <v>61</v>
      </c>
      <c r="J722" s="12">
        <v>45427</v>
      </c>
      <c r="K722" t="s">
        <v>6</v>
      </c>
    </row>
    <row r="723" spans="1:11" x14ac:dyDescent="0.3">
      <c r="A723">
        <v>859</v>
      </c>
      <c r="B723" t="s">
        <v>65</v>
      </c>
      <c r="C723" t="s">
        <v>7</v>
      </c>
      <c r="D723">
        <v>1</v>
      </c>
      <c r="E723">
        <v>18</v>
      </c>
      <c r="F723" t="s">
        <v>62</v>
      </c>
      <c r="G723">
        <v>47.507019</v>
      </c>
      <c r="H723">
        <v>18.944015</v>
      </c>
      <c r="I723" t="s">
        <v>61</v>
      </c>
      <c r="J723" s="12">
        <v>45428</v>
      </c>
      <c r="K723" t="s">
        <v>6</v>
      </c>
    </row>
    <row r="724" spans="1:11" x14ac:dyDescent="0.3">
      <c r="A724">
        <v>860</v>
      </c>
      <c r="B724" t="s">
        <v>65</v>
      </c>
      <c r="C724" t="s">
        <v>13</v>
      </c>
      <c r="D724">
        <v>0.4</v>
      </c>
      <c r="E724">
        <v>13</v>
      </c>
      <c r="F724" t="s">
        <v>59</v>
      </c>
      <c r="G724">
        <v>48.237386000000001</v>
      </c>
      <c r="H724">
        <v>17.078351999999999</v>
      </c>
      <c r="I724" t="s">
        <v>61</v>
      </c>
      <c r="J724" s="12">
        <v>45428</v>
      </c>
      <c r="K724" t="s">
        <v>14</v>
      </c>
    </row>
    <row r="725" spans="1:11" x14ac:dyDescent="0.3">
      <c r="A725">
        <v>861</v>
      </c>
      <c r="B725" t="s">
        <v>65</v>
      </c>
      <c r="C725" t="s">
        <v>7</v>
      </c>
      <c r="D725">
        <v>0.84565217391304304</v>
      </c>
      <c r="E725">
        <v>20.985294117647001</v>
      </c>
      <c r="F725" t="s">
        <v>59</v>
      </c>
      <c r="G725">
        <v>47.510077000000003</v>
      </c>
      <c r="H725">
        <v>18.945646</v>
      </c>
      <c r="I725" t="s">
        <v>61</v>
      </c>
      <c r="J725" s="12">
        <v>45429</v>
      </c>
      <c r="K725" t="s">
        <v>6</v>
      </c>
    </row>
    <row r="726" spans="1:11" x14ac:dyDescent="0.3">
      <c r="A726">
        <v>862</v>
      </c>
      <c r="B726" t="s">
        <v>65</v>
      </c>
      <c r="C726" t="s">
        <v>7</v>
      </c>
      <c r="D726">
        <v>0.7</v>
      </c>
      <c r="E726">
        <v>11</v>
      </c>
      <c r="F726" t="s">
        <v>62</v>
      </c>
      <c r="G726">
        <v>47.507758000000003</v>
      </c>
      <c r="H726">
        <v>18.949223</v>
      </c>
      <c r="I726" t="s">
        <v>61</v>
      </c>
      <c r="J726" s="12">
        <v>45429</v>
      </c>
      <c r="K726" t="s">
        <v>6</v>
      </c>
    </row>
    <row r="727" spans="1:11" x14ac:dyDescent="0.3">
      <c r="A727">
        <v>863</v>
      </c>
      <c r="B727" t="s">
        <v>64</v>
      </c>
      <c r="C727" t="s">
        <v>4</v>
      </c>
      <c r="D727">
        <v>0.28000000000000003</v>
      </c>
      <c r="E727">
        <v>19</v>
      </c>
      <c r="F727" t="s">
        <v>62</v>
      </c>
      <c r="G727">
        <v>52.212541999999999</v>
      </c>
      <c r="H727">
        <v>21.033829000000001</v>
      </c>
      <c r="I727" t="s">
        <v>61</v>
      </c>
      <c r="J727" s="12">
        <v>45429</v>
      </c>
      <c r="K727" t="s">
        <v>6</v>
      </c>
    </row>
    <row r="728" spans="1:11" x14ac:dyDescent="0.3">
      <c r="A728">
        <v>864</v>
      </c>
      <c r="B728" t="s">
        <v>64</v>
      </c>
      <c r="C728" t="s">
        <v>4</v>
      </c>
      <c r="D728">
        <v>0.26</v>
      </c>
      <c r="E728">
        <v>19</v>
      </c>
      <c r="F728" t="s">
        <v>59</v>
      </c>
      <c r="G728">
        <v>52.212628000000002</v>
      </c>
      <c r="H728">
        <v>21.034493999999999</v>
      </c>
      <c r="I728" t="s">
        <v>61</v>
      </c>
      <c r="J728" s="12">
        <v>45429</v>
      </c>
      <c r="K728" t="s">
        <v>6</v>
      </c>
    </row>
    <row r="729" spans="1:11" x14ac:dyDescent="0.3">
      <c r="A729">
        <v>865</v>
      </c>
      <c r="B729" t="s">
        <v>64</v>
      </c>
      <c r="C729" t="s">
        <v>4</v>
      </c>
      <c r="D729">
        <v>0.29399999999999998</v>
      </c>
      <c r="E729">
        <v>24</v>
      </c>
      <c r="F729" t="s">
        <v>62</v>
      </c>
      <c r="G729">
        <v>52.212940000000003</v>
      </c>
      <c r="H729">
        <v>21.034208</v>
      </c>
      <c r="I729" t="s">
        <v>61</v>
      </c>
      <c r="J729" s="12">
        <v>45429</v>
      </c>
      <c r="K729" t="s">
        <v>6</v>
      </c>
    </row>
    <row r="730" spans="1:11" x14ac:dyDescent="0.3">
      <c r="A730">
        <v>866</v>
      </c>
      <c r="B730" t="s">
        <v>65</v>
      </c>
      <c r="C730" t="s">
        <v>13</v>
      </c>
      <c r="D730">
        <v>0.6</v>
      </c>
      <c r="E730">
        <v>20</v>
      </c>
      <c r="F730" t="s">
        <v>59</v>
      </c>
      <c r="G730">
        <v>48.235981000000002</v>
      </c>
      <c r="H730">
        <v>17.081697999999999</v>
      </c>
      <c r="I730" t="s">
        <v>61</v>
      </c>
      <c r="J730" s="12">
        <v>45429</v>
      </c>
      <c r="K730" t="s">
        <v>14</v>
      </c>
    </row>
    <row r="731" spans="1:11" x14ac:dyDescent="0.3">
      <c r="A731">
        <v>867</v>
      </c>
      <c r="B731" t="s">
        <v>65</v>
      </c>
      <c r="C731" t="s">
        <v>13</v>
      </c>
      <c r="D731">
        <v>0.8</v>
      </c>
      <c r="E731">
        <v>16</v>
      </c>
      <c r="F731" t="s">
        <v>62</v>
      </c>
      <c r="G731">
        <v>48.234929999999999</v>
      </c>
      <c r="H731">
        <v>17.084813</v>
      </c>
      <c r="I731" t="s">
        <v>61</v>
      </c>
      <c r="J731" s="12">
        <v>45429</v>
      </c>
      <c r="K731" t="s">
        <v>14</v>
      </c>
    </row>
    <row r="732" spans="1:11" x14ac:dyDescent="0.3">
      <c r="A732">
        <v>868</v>
      </c>
      <c r="B732" t="s">
        <v>63</v>
      </c>
      <c r="C732" t="s">
        <v>13</v>
      </c>
      <c r="D732">
        <v>18</v>
      </c>
      <c r="E732">
        <v>76</v>
      </c>
      <c r="F732" t="s">
        <v>59</v>
      </c>
      <c r="G732">
        <v>48.412723999999997</v>
      </c>
      <c r="H732">
        <v>18.868877999999999</v>
      </c>
      <c r="I732" t="s">
        <v>61</v>
      </c>
      <c r="J732" s="12">
        <v>45429</v>
      </c>
      <c r="K732" t="s">
        <v>14</v>
      </c>
    </row>
    <row r="733" spans="1:11" x14ac:dyDescent="0.3">
      <c r="A733">
        <v>872</v>
      </c>
      <c r="B733" t="s">
        <v>64</v>
      </c>
      <c r="C733" t="s">
        <v>4</v>
      </c>
      <c r="D733">
        <v>0.30599999999999999</v>
      </c>
      <c r="E733">
        <v>21</v>
      </c>
      <c r="F733" t="s">
        <v>59</v>
      </c>
      <c r="G733">
        <v>52.211896000000003</v>
      </c>
      <c r="H733">
        <v>21.033805999999998</v>
      </c>
      <c r="I733" t="s">
        <v>61</v>
      </c>
      <c r="J733" s="12">
        <v>45430</v>
      </c>
      <c r="K733" t="s">
        <v>6</v>
      </c>
    </row>
    <row r="734" spans="1:11" x14ac:dyDescent="0.3">
      <c r="A734">
        <v>873</v>
      </c>
      <c r="B734" t="s">
        <v>64</v>
      </c>
      <c r="C734" t="s">
        <v>4</v>
      </c>
      <c r="D734">
        <v>0.27700000000000002</v>
      </c>
      <c r="E734">
        <v>22</v>
      </c>
      <c r="F734" t="s">
        <v>59</v>
      </c>
      <c r="G734">
        <v>52.211924000000003</v>
      </c>
      <c r="H734">
        <v>21.033242999999999</v>
      </c>
      <c r="I734" t="s">
        <v>61</v>
      </c>
      <c r="J734" s="12">
        <v>45430</v>
      </c>
      <c r="K734" t="s">
        <v>6</v>
      </c>
    </row>
    <row r="735" spans="1:11" x14ac:dyDescent="0.3">
      <c r="A735">
        <v>876</v>
      </c>
      <c r="B735" t="s">
        <v>65</v>
      </c>
      <c r="C735" t="s">
        <v>7</v>
      </c>
      <c r="D735">
        <v>1.1000000000000001</v>
      </c>
      <c r="E735">
        <v>22</v>
      </c>
      <c r="F735" t="s">
        <v>62</v>
      </c>
      <c r="G735">
        <v>47.510584000000001</v>
      </c>
      <c r="H735">
        <v>18.94173</v>
      </c>
      <c r="I735" t="s">
        <v>61</v>
      </c>
      <c r="J735" s="12">
        <v>45431</v>
      </c>
      <c r="K735" t="s">
        <v>6</v>
      </c>
    </row>
    <row r="736" spans="1:11" x14ac:dyDescent="0.3">
      <c r="A736">
        <v>877</v>
      </c>
      <c r="B736" t="s">
        <v>65</v>
      </c>
      <c r="C736" t="s">
        <v>13</v>
      </c>
      <c r="D736">
        <v>0.6</v>
      </c>
      <c r="E736">
        <v>19</v>
      </c>
      <c r="F736" t="s">
        <v>62</v>
      </c>
      <c r="G736">
        <v>48.236604999999997</v>
      </c>
      <c r="H736">
        <v>17.071494999999999</v>
      </c>
      <c r="I736" t="s">
        <v>61</v>
      </c>
      <c r="J736" s="12">
        <v>45431</v>
      </c>
      <c r="K736" t="s">
        <v>14</v>
      </c>
    </row>
    <row r="737" spans="1:11" x14ac:dyDescent="0.3">
      <c r="A737">
        <v>878</v>
      </c>
      <c r="B737" t="s">
        <v>63</v>
      </c>
      <c r="C737" t="s">
        <v>13</v>
      </c>
      <c r="D737">
        <v>22</v>
      </c>
      <c r="E737">
        <v>85</v>
      </c>
      <c r="F737" t="s">
        <v>59</v>
      </c>
      <c r="G737">
        <v>48.411436000000002</v>
      </c>
      <c r="H737">
        <v>18.86478</v>
      </c>
      <c r="I737" t="s">
        <v>61</v>
      </c>
      <c r="J737" s="12">
        <v>45431</v>
      </c>
      <c r="K737" t="s">
        <v>14</v>
      </c>
    </row>
    <row r="738" spans="1:11" x14ac:dyDescent="0.3">
      <c r="A738">
        <v>879</v>
      </c>
      <c r="B738" t="s">
        <v>64</v>
      </c>
      <c r="C738" t="s">
        <v>4</v>
      </c>
      <c r="D738">
        <v>0.34100000000000003</v>
      </c>
      <c r="E738">
        <v>21</v>
      </c>
      <c r="F738" t="s">
        <v>62</v>
      </c>
      <c r="G738">
        <v>52.212294999999997</v>
      </c>
      <c r="H738">
        <v>21.034039</v>
      </c>
      <c r="I738" t="s">
        <v>61</v>
      </c>
      <c r="J738" s="12">
        <v>45432</v>
      </c>
      <c r="K738" t="s">
        <v>6</v>
      </c>
    </row>
    <row r="739" spans="1:11" x14ac:dyDescent="0.3">
      <c r="A739">
        <v>881</v>
      </c>
      <c r="B739" t="s">
        <v>64</v>
      </c>
      <c r="C739" t="s">
        <v>4</v>
      </c>
      <c r="D739">
        <v>0.33800000000000002</v>
      </c>
      <c r="E739">
        <v>22</v>
      </c>
      <c r="F739" t="s">
        <v>62</v>
      </c>
      <c r="G739">
        <v>52.212915000000002</v>
      </c>
      <c r="H739">
        <v>21.033225999999999</v>
      </c>
      <c r="I739" t="s">
        <v>61</v>
      </c>
      <c r="J739" s="12">
        <v>45433</v>
      </c>
      <c r="K739" t="s">
        <v>6</v>
      </c>
    </row>
    <row r="740" spans="1:11" x14ac:dyDescent="0.3">
      <c r="A740">
        <v>882</v>
      </c>
      <c r="B740" t="s">
        <v>64</v>
      </c>
      <c r="C740" t="s">
        <v>4</v>
      </c>
      <c r="D740">
        <v>0.311</v>
      </c>
      <c r="E740">
        <v>19</v>
      </c>
      <c r="F740" t="s">
        <v>62</v>
      </c>
      <c r="G740">
        <v>52.212600999999999</v>
      </c>
      <c r="H740">
        <v>21.032613000000001</v>
      </c>
      <c r="I740" t="s">
        <v>61</v>
      </c>
      <c r="J740" s="12">
        <v>45433</v>
      </c>
      <c r="K740" t="s">
        <v>6</v>
      </c>
    </row>
    <row r="741" spans="1:11" x14ac:dyDescent="0.3">
      <c r="A741">
        <v>883</v>
      </c>
      <c r="B741" t="s">
        <v>65</v>
      </c>
      <c r="C741" t="s">
        <v>13</v>
      </c>
      <c r="D741">
        <v>1.2</v>
      </c>
      <c r="E741">
        <v>25</v>
      </c>
      <c r="F741" t="s">
        <v>59</v>
      </c>
      <c r="G741">
        <v>48.231496999999997</v>
      </c>
      <c r="H741">
        <v>17.073128000000001</v>
      </c>
      <c r="I741" t="s">
        <v>61</v>
      </c>
      <c r="J741" s="12">
        <v>45433</v>
      </c>
      <c r="K741" t="s">
        <v>14</v>
      </c>
    </row>
    <row r="742" spans="1:11" x14ac:dyDescent="0.3">
      <c r="A742">
        <v>884</v>
      </c>
      <c r="B742" t="s">
        <v>65</v>
      </c>
      <c r="C742" t="s">
        <v>13</v>
      </c>
      <c r="D742">
        <v>0.4</v>
      </c>
      <c r="E742">
        <v>16</v>
      </c>
      <c r="F742" t="s">
        <v>62</v>
      </c>
      <c r="G742">
        <v>48.238633999999998</v>
      </c>
      <c r="H742">
        <v>17.074895000000001</v>
      </c>
      <c r="I742" t="s">
        <v>61</v>
      </c>
      <c r="J742" s="12">
        <v>45433</v>
      </c>
      <c r="K742" t="s">
        <v>14</v>
      </c>
    </row>
    <row r="743" spans="1:11" x14ac:dyDescent="0.3">
      <c r="A743">
        <v>887</v>
      </c>
      <c r="B743" t="s">
        <v>64</v>
      </c>
      <c r="C743" t="s">
        <v>4</v>
      </c>
      <c r="D743">
        <v>0.308</v>
      </c>
      <c r="E743">
        <v>23</v>
      </c>
      <c r="F743" t="s">
        <v>59</v>
      </c>
      <c r="G743">
        <v>52.212245000000003</v>
      </c>
      <c r="H743">
        <v>21.032988</v>
      </c>
      <c r="I743" t="s">
        <v>61</v>
      </c>
      <c r="J743" s="12">
        <v>45434</v>
      </c>
      <c r="K743" t="s">
        <v>6</v>
      </c>
    </row>
    <row r="744" spans="1:11" x14ac:dyDescent="0.3">
      <c r="A744">
        <v>888</v>
      </c>
      <c r="B744" t="s">
        <v>64</v>
      </c>
      <c r="C744" t="s">
        <v>4</v>
      </c>
      <c r="D744">
        <v>0.308</v>
      </c>
      <c r="E744">
        <v>22</v>
      </c>
      <c r="F744" t="s">
        <v>62</v>
      </c>
      <c r="G744">
        <v>52.212583000000002</v>
      </c>
      <c r="H744">
        <v>21.032931999999999</v>
      </c>
      <c r="I744" t="s">
        <v>61</v>
      </c>
      <c r="J744" s="12">
        <v>45434</v>
      </c>
      <c r="K744" t="s">
        <v>6</v>
      </c>
    </row>
    <row r="745" spans="1:11" x14ac:dyDescent="0.3">
      <c r="A745">
        <v>891</v>
      </c>
      <c r="B745" t="s">
        <v>64</v>
      </c>
      <c r="C745" t="s">
        <v>4</v>
      </c>
      <c r="D745">
        <v>0.28999999999999998</v>
      </c>
      <c r="E745">
        <v>23</v>
      </c>
      <c r="F745" t="s">
        <v>59</v>
      </c>
      <c r="G745">
        <v>52.212065000000003</v>
      </c>
      <c r="H745">
        <v>21.034571</v>
      </c>
      <c r="I745" t="s">
        <v>61</v>
      </c>
      <c r="J745" s="12">
        <v>45435</v>
      </c>
      <c r="K745" t="s">
        <v>6</v>
      </c>
    </row>
    <row r="746" spans="1:11" x14ac:dyDescent="0.3">
      <c r="A746">
        <v>892</v>
      </c>
      <c r="B746" t="s">
        <v>65</v>
      </c>
      <c r="C746" t="s">
        <v>13</v>
      </c>
      <c r="D746">
        <v>0.5</v>
      </c>
      <c r="E746">
        <v>16</v>
      </c>
      <c r="F746" t="s">
        <v>59</v>
      </c>
      <c r="G746">
        <v>48.231214000000001</v>
      </c>
      <c r="H746">
        <v>17.084105000000001</v>
      </c>
      <c r="I746" t="s">
        <v>61</v>
      </c>
      <c r="J746" s="12">
        <v>45435</v>
      </c>
      <c r="K746" t="s">
        <v>14</v>
      </c>
    </row>
    <row r="747" spans="1:11" x14ac:dyDescent="0.3">
      <c r="A747">
        <v>893</v>
      </c>
      <c r="B747" t="s">
        <v>63</v>
      </c>
      <c r="C747" t="s">
        <v>15</v>
      </c>
      <c r="D747">
        <v>21</v>
      </c>
      <c r="E747">
        <v>91</v>
      </c>
      <c r="F747" t="s">
        <v>62</v>
      </c>
      <c r="G747">
        <v>50.881878</v>
      </c>
      <c r="H747">
        <v>14.371969</v>
      </c>
      <c r="I747" t="s">
        <v>61</v>
      </c>
      <c r="J747" s="12">
        <v>45435</v>
      </c>
      <c r="K747" t="s">
        <v>14</v>
      </c>
    </row>
    <row r="748" spans="1:11" x14ac:dyDescent="0.3">
      <c r="A748">
        <v>895</v>
      </c>
      <c r="B748" t="s">
        <v>64</v>
      </c>
      <c r="C748" t="s">
        <v>4</v>
      </c>
      <c r="D748">
        <v>0.34599999999999997</v>
      </c>
      <c r="E748">
        <v>22</v>
      </c>
      <c r="F748" t="s">
        <v>62</v>
      </c>
      <c r="G748">
        <v>52.212305000000001</v>
      </c>
      <c r="H748">
        <v>21.033920999999999</v>
      </c>
      <c r="I748" t="s">
        <v>61</v>
      </c>
      <c r="J748" s="12">
        <v>45436</v>
      </c>
      <c r="K748" t="s">
        <v>6</v>
      </c>
    </row>
    <row r="749" spans="1:11" x14ac:dyDescent="0.3">
      <c r="A749">
        <v>896</v>
      </c>
      <c r="B749" t="s">
        <v>65</v>
      </c>
      <c r="C749" t="s">
        <v>13</v>
      </c>
      <c r="D749">
        <v>0.7</v>
      </c>
      <c r="E749">
        <v>20</v>
      </c>
      <c r="F749" t="s">
        <v>62</v>
      </c>
      <c r="G749">
        <v>48.231411000000001</v>
      </c>
      <c r="H749">
        <v>17.075483999999999</v>
      </c>
      <c r="I749" t="s">
        <v>61</v>
      </c>
      <c r="J749" s="12">
        <v>45436</v>
      </c>
      <c r="K749" t="s">
        <v>14</v>
      </c>
    </row>
    <row r="750" spans="1:11" x14ac:dyDescent="0.3">
      <c r="A750">
        <v>898</v>
      </c>
      <c r="B750" t="s">
        <v>64</v>
      </c>
      <c r="C750" t="s">
        <v>4</v>
      </c>
      <c r="D750">
        <v>0.297366504854368</v>
      </c>
      <c r="E750">
        <v>20.418848167539199</v>
      </c>
      <c r="F750" t="s">
        <v>59</v>
      </c>
      <c r="G750">
        <v>52.212905999999997</v>
      </c>
      <c r="H750">
        <v>21.03321</v>
      </c>
      <c r="I750" t="s">
        <v>61</v>
      </c>
      <c r="J750" s="12">
        <v>45437</v>
      </c>
      <c r="K750" t="s">
        <v>6</v>
      </c>
    </row>
    <row r="751" spans="1:11" x14ac:dyDescent="0.3">
      <c r="A751">
        <v>900</v>
      </c>
      <c r="B751" t="s">
        <v>64</v>
      </c>
      <c r="C751" t="s">
        <v>4</v>
      </c>
      <c r="D751">
        <v>0.32700000000000001</v>
      </c>
      <c r="E751">
        <v>24</v>
      </c>
      <c r="F751" t="s">
        <v>62</v>
      </c>
      <c r="G751">
        <v>52.822110000000002</v>
      </c>
      <c r="H751">
        <v>23.814402999999999</v>
      </c>
      <c r="I751" t="s">
        <v>61</v>
      </c>
      <c r="J751" s="12">
        <v>45438</v>
      </c>
      <c r="K751" t="s">
        <v>6</v>
      </c>
    </row>
    <row r="752" spans="1:11" x14ac:dyDescent="0.3">
      <c r="A752">
        <v>901</v>
      </c>
      <c r="B752" t="s">
        <v>65</v>
      </c>
      <c r="C752" t="s">
        <v>13</v>
      </c>
      <c r="D752">
        <v>0.8</v>
      </c>
      <c r="E752">
        <v>18</v>
      </c>
      <c r="F752" t="s">
        <v>59</v>
      </c>
      <c r="G752">
        <v>48.237588000000002</v>
      </c>
      <c r="H752">
        <v>17.090344000000002</v>
      </c>
      <c r="I752" t="s">
        <v>61</v>
      </c>
      <c r="J752" s="12">
        <v>45438</v>
      </c>
      <c r="K752" t="s">
        <v>14</v>
      </c>
    </row>
    <row r="753" spans="1:11" x14ac:dyDescent="0.3">
      <c r="A753">
        <v>903</v>
      </c>
      <c r="B753" t="s">
        <v>65</v>
      </c>
      <c r="C753" t="s">
        <v>13</v>
      </c>
      <c r="D753">
        <v>0.7</v>
      </c>
      <c r="E753">
        <v>18</v>
      </c>
      <c r="F753" t="s">
        <v>62</v>
      </c>
      <c r="G753">
        <v>48.232774999999997</v>
      </c>
      <c r="H753">
        <v>17.070226000000002</v>
      </c>
      <c r="I753" t="s">
        <v>61</v>
      </c>
      <c r="J753" s="12">
        <v>45439</v>
      </c>
      <c r="K753" t="s">
        <v>14</v>
      </c>
    </row>
    <row r="754" spans="1:11" x14ac:dyDescent="0.3">
      <c r="A754">
        <v>904</v>
      </c>
      <c r="B754" t="s">
        <v>64</v>
      </c>
      <c r="C754" t="s">
        <v>4</v>
      </c>
      <c r="D754">
        <v>0.27400000000000002</v>
      </c>
      <c r="E754">
        <v>23</v>
      </c>
      <c r="F754" t="s">
        <v>59</v>
      </c>
      <c r="G754">
        <v>52.821630999999996</v>
      </c>
      <c r="H754">
        <v>23.813638000000001</v>
      </c>
      <c r="I754" t="s">
        <v>61</v>
      </c>
      <c r="J754" s="12">
        <v>45440</v>
      </c>
      <c r="K754" t="s">
        <v>6</v>
      </c>
    </row>
    <row r="755" spans="1:11" x14ac:dyDescent="0.3">
      <c r="A755">
        <v>906</v>
      </c>
      <c r="B755" t="s">
        <v>64</v>
      </c>
      <c r="C755" t="s">
        <v>4</v>
      </c>
      <c r="D755">
        <v>0.31</v>
      </c>
      <c r="E755">
        <v>19</v>
      </c>
      <c r="F755" t="s">
        <v>62</v>
      </c>
      <c r="G755">
        <v>52.821523999999997</v>
      </c>
      <c r="H755">
        <v>23.817036999999999</v>
      </c>
      <c r="I755" t="s">
        <v>8</v>
      </c>
      <c r="J755" s="12">
        <v>45441</v>
      </c>
      <c r="K755" t="s">
        <v>6</v>
      </c>
    </row>
    <row r="756" spans="1:11" x14ac:dyDescent="0.3">
      <c r="A756">
        <v>907</v>
      </c>
      <c r="B756" t="s">
        <v>65</v>
      </c>
      <c r="C756" t="s">
        <v>13</v>
      </c>
      <c r="D756">
        <v>0.8</v>
      </c>
      <c r="E756">
        <v>18</v>
      </c>
      <c r="F756" t="s">
        <v>59</v>
      </c>
      <c r="G756">
        <v>48.226889999999997</v>
      </c>
      <c r="H756">
        <v>17.084025</v>
      </c>
      <c r="I756" t="s">
        <v>61</v>
      </c>
      <c r="J756" s="12">
        <v>45441</v>
      </c>
      <c r="K756" t="s">
        <v>14</v>
      </c>
    </row>
    <row r="757" spans="1:11" x14ac:dyDescent="0.3">
      <c r="A757">
        <v>908</v>
      </c>
      <c r="B757" t="s">
        <v>63</v>
      </c>
      <c r="C757" t="s">
        <v>13</v>
      </c>
      <c r="D757">
        <v>25</v>
      </c>
      <c r="E757">
        <v>101</v>
      </c>
      <c r="F757" t="s">
        <v>62</v>
      </c>
      <c r="G757">
        <v>48.412941000000004</v>
      </c>
      <c r="H757">
        <v>18.863683999999999</v>
      </c>
      <c r="I757" t="s">
        <v>61</v>
      </c>
      <c r="J757" s="12">
        <v>45441</v>
      </c>
      <c r="K757" t="s">
        <v>14</v>
      </c>
    </row>
    <row r="758" spans="1:11" x14ac:dyDescent="0.3">
      <c r="A758">
        <v>910</v>
      </c>
      <c r="B758" t="s">
        <v>65</v>
      </c>
      <c r="C758" t="s">
        <v>13</v>
      </c>
      <c r="D758">
        <v>0.6</v>
      </c>
      <c r="E758">
        <v>18</v>
      </c>
      <c r="F758" t="s">
        <v>62</v>
      </c>
      <c r="G758">
        <v>48.237124000000001</v>
      </c>
      <c r="H758">
        <v>17.085811</v>
      </c>
      <c r="I758" t="s">
        <v>61</v>
      </c>
      <c r="J758" s="12">
        <v>45442</v>
      </c>
      <c r="K758" t="s">
        <v>14</v>
      </c>
    </row>
    <row r="759" spans="1:11" x14ac:dyDescent="0.3">
      <c r="A759">
        <v>911</v>
      </c>
      <c r="B759" t="s">
        <v>64</v>
      </c>
      <c r="C759" t="s">
        <v>4</v>
      </c>
      <c r="D759">
        <v>0.315</v>
      </c>
      <c r="E759">
        <v>24</v>
      </c>
      <c r="F759" t="s">
        <v>62</v>
      </c>
      <c r="G759">
        <v>52.822949999999999</v>
      </c>
      <c r="H759">
        <v>23.812750000000001</v>
      </c>
      <c r="I759" t="s">
        <v>61</v>
      </c>
      <c r="J759" s="12">
        <v>45443</v>
      </c>
      <c r="K759" t="s">
        <v>6</v>
      </c>
    </row>
    <row r="760" spans="1:11" x14ac:dyDescent="0.3">
      <c r="A760">
        <v>912</v>
      </c>
      <c r="B760" t="s">
        <v>64</v>
      </c>
      <c r="C760" t="s">
        <v>4</v>
      </c>
      <c r="D760">
        <v>0.29299999999999998</v>
      </c>
      <c r="E760">
        <v>22</v>
      </c>
      <c r="F760" t="s">
        <v>62</v>
      </c>
      <c r="G760">
        <v>52.820813000000001</v>
      </c>
      <c r="H760">
        <v>23.809086000000001</v>
      </c>
      <c r="I760" t="s">
        <v>61</v>
      </c>
      <c r="J760" s="12">
        <v>45443</v>
      </c>
      <c r="K760" t="s">
        <v>6</v>
      </c>
    </row>
    <row r="761" spans="1:11" x14ac:dyDescent="0.3">
      <c r="A761">
        <v>913</v>
      </c>
      <c r="B761" t="s">
        <v>64</v>
      </c>
      <c r="C761" t="s">
        <v>4</v>
      </c>
      <c r="D761">
        <v>0.30199999999999999</v>
      </c>
      <c r="E761">
        <v>24</v>
      </c>
      <c r="F761" t="s">
        <v>59</v>
      </c>
      <c r="G761">
        <v>52.825792999999997</v>
      </c>
      <c r="H761">
        <v>23.811067999999999</v>
      </c>
      <c r="I761" t="s">
        <v>61</v>
      </c>
      <c r="J761" s="12">
        <v>45443</v>
      </c>
      <c r="K761" t="s">
        <v>6</v>
      </c>
    </row>
    <row r="762" spans="1:11" x14ac:dyDescent="0.3">
      <c r="A762">
        <v>914</v>
      </c>
      <c r="B762" t="s">
        <v>64</v>
      </c>
      <c r="C762" t="s">
        <v>4</v>
      </c>
      <c r="D762">
        <v>0.29899999999999999</v>
      </c>
      <c r="E762">
        <v>20</v>
      </c>
      <c r="F762" t="s">
        <v>62</v>
      </c>
      <c r="G762">
        <v>52.820307999999997</v>
      </c>
      <c r="H762">
        <v>23.809736000000001</v>
      </c>
      <c r="I762" t="s">
        <v>61</v>
      </c>
      <c r="J762" s="12">
        <v>45443</v>
      </c>
      <c r="K762" t="s">
        <v>6</v>
      </c>
    </row>
    <row r="763" spans="1:11" x14ac:dyDescent="0.3">
      <c r="A763">
        <v>915</v>
      </c>
      <c r="B763" t="s">
        <v>65</v>
      </c>
      <c r="C763" t="s">
        <v>13</v>
      </c>
      <c r="D763">
        <v>0.6</v>
      </c>
      <c r="E763">
        <v>15</v>
      </c>
      <c r="F763" t="s">
        <v>59</v>
      </c>
      <c r="G763">
        <v>48.228141000000001</v>
      </c>
      <c r="H763">
        <v>17.089054999999998</v>
      </c>
      <c r="I763" t="s">
        <v>61</v>
      </c>
      <c r="J763" s="12">
        <v>45443</v>
      </c>
      <c r="K763" t="s">
        <v>14</v>
      </c>
    </row>
    <row r="764" spans="1:11" x14ac:dyDescent="0.3">
      <c r="A764">
        <v>916</v>
      </c>
      <c r="B764" t="s">
        <v>63</v>
      </c>
      <c r="C764" t="s">
        <v>13</v>
      </c>
      <c r="D764">
        <v>30</v>
      </c>
      <c r="E764">
        <v>115</v>
      </c>
      <c r="F764" t="s">
        <v>59</v>
      </c>
      <c r="G764">
        <v>48.408025000000002</v>
      </c>
      <c r="H764">
        <v>18.865228999999999</v>
      </c>
      <c r="I764" t="s">
        <v>61</v>
      </c>
      <c r="J764" s="12">
        <v>45443</v>
      </c>
      <c r="K764" t="s">
        <v>14</v>
      </c>
    </row>
    <row r="765" spans="1:11" x14ac:dyDescent="0.3">
      <c r="A765">
        <v>921</v>
      </c>
      <c r="B765" t="s">
        <v>64</v>
      </c>
      <c r="C765" t="s">
        <v>4</v>
      </c>
      <c r="D765">
        <v>0.32500000000000001</v>
      </c>
      <c r="E765">
        <v>20</v>
      </c>
      <c r="F765" t="s">
        <v>59</v>
      </c>
      <c r="G765">
        <v>52.823959000000002</v>
      </c>
      <c r="H765">
        <v>23.817073000000001</v>
      </c>
      <c r="I765" t="s">
        <v>61</v>
      </c>
      <c r="J765" s="12">
        <v>45444</v>
      </c>
      <c r="K765" t="s">
        <v>6</v>
      </c>
    </row>
    <row r="766" spans="1:11" x14ac:dyDescent="0.3">
      <c r="A766">
        <v>922</v>
      </c>
      <c r="B766" t="s">
        <v>64</v>
      </c>
      <c r="C766" t="s">
        <v>4</v>
      </c>
      <c r="D766">
        <v>0.27600000000000002</v>
      </c>
      <c r="E766">
        <v>22</v>
      </c>
      <c r="F766" t="s">
        <v>59</v>
      </c>
      <c r="G766">
        <v>52.825746000000002</v>
      </c>
      <c r="H766">
        <v>23.815204000000001</v>
      </c>
      <c r="I766" t="s">
        <v>61</v>
      </c>
      <c r="J766" s="12">
        <v>45444</v>
      </c>
      <c r="K766" t="s">
        <v>6</v>
      </c>
    </row>
    <row r="767" spans="1:11" x14ac:dyDescent="0.3">
      <c r="A767">
        <v>923</v>
      </c>
      <c r="B767" t="s">
        <v>64</v>
      </c>
      <c r="C767" t="s">
        <v>4</v>
      </c>
      <c r="D767">
        <v>0.29799999999999999</v>
      </c>
      <c r="E767">
        <v>24</v>
      </c>
      <c r="F767" t="s">
        <v>62</v>
      </c>
      <c r="G767">
        <v>52.823594999999997</v>
      </c>
      <c r="H767">
        <v>23.814758000000001</v>
      </c>
      <c r="I767" t="s">
        <v>61</v>
      </c>
      <c r="J767" s="12">
        <v>45444</v>
      </c>
      <c r="K767" t="s">
        <v>6</v>
      </c>
    </row>
    <row r="768" spans="1:11" x14ac:dyDescent="0.3">
      <c r="A768">
        <v>924</v>
      </c>
      <c r="B768" t="s">
        <v>64</v>
      </c>
      <c r="C768" t="s">
        <v>4</v>
      </c>
      <c r="D768">
        <v>0.32200000000000001</v>
      </c>
      <c r="E768">
        <v>23</v>
      </c>
      <c r="F768" t="s">
        <v>59</v>
      </c>
      <c r="G768">
        <v>52.825363000000003</v>
      </c>
      <c r="H768">
        <v>23.816828999999998</v>
      </c>
      <c r="I768" t="s">
        <v>61</v>
      </c>
      <c r="J768" s="12">
        <v>45444</v>
      </c>
      <c r="K768" t="s">
        <v>6</v>
      </c>
    </row>
    <row r="769" spans="1:11" x14ac:dyDescent="0.3">
      <c r="A769">
        <v>925</v>
      </c>
      <c r="B769" t="s">
        <v>64</v>
      </c>
      <c r="C769" t="s">
        <v>4</v>
      </c>
      <c r="D769">
        <v>0.34399999999999997</v>
      </c>
      <c r="E769">
        <v>22</v>
      </c>
      <c r="F769" t="s">
        <v>62</v>
      </c>
      <c r="G769">
        <v>52.821958000000002</v>
      </c>
      <c r="H769">
        <v>23.811375000000002</v>
      </c>
      <c r="I769" t="s">
        <v>61</v>
      </c>
      <c r="J769" s="12">
        <v>45444</v>
      </c>
      <c r="K769" t="s">
        <v>6</v>
      </c>
    </row>
    <row r="770" spans="1:11" x14ac:dyDescent="0.3">
      <c r="A770">
        <v>926</v>
      </c>
      <c r="B770" t="s">
        <v>64</v>
      </c>
      <c r="C770" t="s">
        <v>4</v>
      </c>
      <c r="D770">
        <v>0.32300000000000001</v>
      </c>
      <c r="E770">
        <v>22</v>
      </c>
      <c r="F770" t="s">
        <v>62</v>
      </c>
      <c r="G770">
        <v>52.823084000000001</v>
      </c>
      <c r="H770">
        <v>23.816106000000001</v>
      </c>
      <c r="I770" t="s">
        <v>61</v>
      </c>
      <c r="J770" s="12">
        <v>45444</v>
      </c>
      <c r="K770" t="s">
        <v>6</v>
      </c>
    </row>
    <row r="771" spans="1:11" x14ac:dyDescent="0.3">
      <c r="A771">
        <v>933</v>
      </c>
      <c r="B771" t="s">
        <v>65</v>
      </c>
      <c r="C771" t="s">
        <v>13</v>
      </c>
      <c r="D771">
        <v>0.6</v>
      </c>
      <c r="E771">
        <v>15</v>
      </c>
      <c r="F771" t="s">
        <v>59</v>
      </c>
      <c r="G771">
        <v>48.238912999999997</v>
      </c>
      <c r="H771">
        <v>17.065508000000001</v>
      </c>
      <c r="I771" t="s">
        <v>61</v>
      </c>
      <c r="J771" s="12">
        <v>45445</v>
      </c>
      <c r="K771" t="s">
        <v>14</v>
      </c>
    </row>
    <row r="772" spans="1:11" x14ac:dyDescent="0.3">
      <c r="A772">
        <v>935</v>
      </c>
      <c r="B772" t="s">
        <v>65</v>
      </c>
      <c r="C772" t="s">
        <v>13</v>
      </c>
      <c r="D772">
        <v>0.7</v>
      </c>
      <c r="E772">
        <v>14</v>
      </c>
      <c r="F772" t="s">
        <v>62</v>
      </c>
      <c r="G772">
        <v>48.237761999999996</v>
      </c>
      <c r="H772">
        <v>17.067101000000001</v>
      </c>
      <c r="I772" t="s">
        <v>61</v>
      </c>
      <c r="J772" s="12">
        <v>45446</v>
      </c>
      <c r="K772" t="s">
        <v>14</v>
      </c>
    </row>
    <row r="773" spans="1:11" x14ac:dyDescent="0.3">
      <c r="A773">
        <v>936</v>
      </c>
      <c r="B773" t="s">
        <v>65</v>
      </c>
      <c r="C773" t="s">
        <v>13</v>
      </c>
      <c r="D773">
        <v>0.7</v>
      </c>
      <c r="E773">
        <v>17</v>
      </c>
      <c r="F773" t="s">
        <v>62</v>
      </c>
      <c r="G773">
        <v>48.238517000000002</v>
      </c>
      <c r="H773">
        <v>17.090267999999998</v>
      </c>
      <c r="I773" t="s">
        <v>61</v>
      </c>
      <c r="J773" s="12">
        <v>45446</v>
      </c>
      <c r="K773" t="s">
        <v>14</v>
      </c>
    </row>
    <row r="774" spans="1:11" x14ac:dyDescent="0.3">
      <c r="A774">
        <v>937</v>
      </c>
      <c r="B774" t="s">
        <v>65</v>
      </c>
      <c r="C774" t="s">
        <v>13</v>
      </c>
      <c r="D774">
        <v>0.7</v>
      </c>
      <c r="E774">
        <v>24</v>
      </c>
      <c r="F774" t="s">
        <v>59</v>
      </c>
      <c r="G774">
        <v>48.232384000000003</v>
      </c>
      <c r="H774">
        <v>17.067453</v>
      </c>
      <c r="I774" t="s">
        <v>61</v>
      </c>
      <c r="J774" s="12">
        <v>45448</v>
      </c>
      <c r="K774" t="s">
        <v>14</v>
      </c>
    </row>
    <row r="775" spans="1:11" x14ac:dyDescent="0.3">
      <c r="A775">
        <v>938</v>
      </c>
      <c r="B775" t="s">
        <v>64</v>
      </c>
      <c r="C775" t="s">
        <v>15</v>
      </c>
      <c r="D775">
        <v>0.32400000000000001</v>
      </c>
      <c r="E775">
        <v>19</v>
      </c>
      <c r="F775" t="s">
        <v>59</v>
      </c>
      <c r="G775">
        <v>50.881376000000003</v>
      </c>
      <c r="H775">
        <v>14.367502999999999</v>
      </c>
      <c r="I775" t="s">
        <v>61</v>
      </c>
      <c r="J775" s="12">
        <v>45449</v>
      </c>
      <c r="K775" t="s">
        <v>14</v>
      </c>
    </row>
    <row r="776" spans="1:11" x14ac:dyDescent="0.3">
      <c r="A776">
        <v>939</v>
      </c>
      <c r="B776" t="s">
        <v>64</v>
      </c>
      <c r="C776" t="s">
        <v>15</v>
      </c>
      <c r="D776">
        <v>0.32400000000000001</v>
      </c>
      <c r="E776">
        <v>19</v>
      </c>
      <c r="F776" t="s">
        <v>62</v>
      </c>
      <c r="G776">
        <v>50.883324999999999</v>
      </c>
      <c r="H776">
        <v>14.372463</v>
      </c>
      <c r="I776" t="s">
        <v>61</v>
      </c>
      <c r="J776" s="12">
        <v>45449</v>
      </c>
      <c r="K776" t="s">
        <v>14</v>
      </c>
    </row>
    <row r="777" spans="1:11" x14ac:dyDescent="0.3">
      <c r="A777">
        <v>940</v>
      </c>
      <c r="B777" t="s">
        <v>63</v>
      </c>
      <c r="C777" t="s">
        <v>13</v>
      </c>
      <c r="D777">
        <v>19</v>
      </c>
      <c r="E777">
        <v>84</v>
      </c>
      <c r="F777" t="s">
        <v>62</v>
      </c>
      <c r="G777">
        <v>48.408917000000002</v>
      </c>
      <c r="H777">
        <v>18.862915000000001</v>
      </c>
      <c r="I777" t="s">
        <v>61</v>
      </c>
      <c r="J777" s="12">
        <v>45450</v>
      </c>
      <c r="K777" t="s">
        <v>14</v>
      </c>
    </row>
    <row r="778" spans="1:11" x14ac:dyDescent="0.3">
      <c r="A778">
        <v>941</v>
      </c>
      <c r="B778" t="s">
        <v>64</v>
      </c>
      <c r="C778" t="s">
        <v>15</v>
      </c>
      <c r="D778">
        <v>0.29099999999999998</v>
      </c>
      <c r="E778">
        <v>21</v>
      </c>
      <c r="F778" t="s">
        <v>62</v>
      </c>
      <c r="G778">
        <v>50.881428</v>
      </c>
      <c r="H778">
        <v>14.366688999999999</v>
      </c>
      <c r="I778" t="s">
        <v>61</v>
      </c>
      <c r="J778" s="12">
        <v>45451</v>
      </c>
      <c r="K778" t="s">
        <v>14</v>
      </c>
    </row>
    <row r="779" spans="1:11" x14ac:dyDescent="0.3">
      <c r="A779">
        <v>942</v>
      </c>
      <c r="B779" t="s">
        <v>64</v>
      </c>
      <c r="C779" t="s">
        <v>15</v>
      </c>
      <c r="D779">
        <v>0.25800000000000001</v>
      </c>
      <c r="E779">
        <v>20</v>
      </c>
      <c r="F779" t="s">
        <v>59</v>
      </c>
      <c r="G779">
        <v>50.882641999999997</v>
      </c>
      <c r="H779">
        <v>14.372818000000001</v>
      </c>
      <c r="I779" t="s">
        <v>61</v>
      </c>
      <c r="J779" s="12">
        <v>45451</v>
      </c>
      <c r="K779" t="s">
        <v>14</v>
      </c>
    </row>
    <row r="780" spans="1:11" x14ac:dyDescent="0.3">
      <c r="A780">
        <v>943</v>
      </c>
      <c r="B780" t="s">
        <v>64</v>
      </c>
      <c r="C780" t="s">
        <v>15</v>
      </c>
      <c r="D780">
        <v>0.33300000000000002</v>
      </c>
      <c r="E780">
        <v>23</v>
      </c>
      <c r="F780" t="s">
        <v>59</v>
      </c>
      <c r="G780">
        <v>50.883848999999998</v>
      </c>
      <c r="H780">
        <v>14.367353</v>
      </c>
      <c r="I780" t="s">
        <v>61</v>
      </c>
      <c r="J780" s="12">
        <v>45453</v>
      </c>
      <c r="K780" t="s">
        <v>14</v>
      </c>
    </row>
    <row r="781" spans="1:11" x14ac:dyDescent="0.3">
      <c r="A781">
        <v>944</v>
      </c>
      <c r="B781" t="s">
        <v>64</v>
      </c>
      <c r="C781" t="s">
        <v>15</v>
      </c>
      <c r="D781">
        <v>0.27800000000000002</v>
      </c>
      <c r="E781">
        <v>18</v>
      </c>
      <c r="F781" t="s">
        <v>62</v>
      </c>
      <c r="G781">
        <v>50.884287999999998</v>
      </c>
      <c r="H781">
        <v>14.372837000000001</v>
      </c>
      <c r="I781" t="s">
        <v>61</v>
      </c>
      <c r="J781" s="12">
        <v>45454</v>
      </c>
      <c r="K781" t="s">
        <v>14</v>
      </c>
    </row>
    <row r="782" spans="1:11" x14ac:dyDescent="0.3">
      <c r="A782">
        <v>945</v>
      </c>
      <c r="B782" t="s">
        <v>63</v>
      </c>
      <c r="C782" t="s">
        <v>13</v>
      </c>
      <c r="D782">
        <v>23</v>
      </c>
      <c r="E782">
        <v>95</v>
      </c>
      <c r="F782" t="s">
        <v>59</v>
      </c>
      <c r="G782">
        <v>48.411735999999998</v>
      </c>
      <c r="H782">
        <v>18.874597000000001</v>
      </c>
      <c r="I782" t="s">
        <v>61</v>
      </c>
      <c r="J782" s="12">
        <v>45462</v>
      </c>
      <c r="K782" t="s">
        <v>14</v>
      </c>
    </row>
    <row r="783" spans="1:11" x14ac:dyDescent="0.3">
      <c r="A783">
        <v>946</v>
      </c>
      <c r="B783" t="s">
        <v>63</v>
      </c>
      <c r="C783" t="s">
        <v>13</v>
      </c>
      <c r="D783">
        <v>11</v>
      </c>
      <c r="E783">
        <v>52</v>
      </c>
      <c r="F783" t="s">
        <v>62</v>
      </c>
      <c r="G783">
        <v>48.411790000000003</v>
      </c>
      <c r="H783">
        <v>18.871649999999999</v>
      </c>
      <c r="I783" t="s">
        <v>61</v>
      </c>
      <c r="J783" s="12">
        <v>45462</v>
      </c>
      <c r="K783" t="s">
        <v>14</v>
      </c>
    </row>
    <row r="784" spans="1:11" x14ac:dyDescent="0.3">
      <c r="A784">
        <v>947</v>
      </c>
      <c r="B784" t="s">
        <v>63</v>
      </c>
      <c r="C784" t="s">
        <v>15</v>
      </c>
      <c r="D784">
        <v>25</v>
      </c>
      <c r="E784">
        <v>97</v>
      </c>
      <c r="F784" t="s">
        <v>62</v>
      </c>
      <c r="G784">
        <v>50.881003</v>
      </c>
      <c r="H784">
        <v>14.369286000000001</v>
      </c>
      <c r="I784" t="s">
        <v>61</v>
      </c>
      <c r="J784" s="12">
        <v>45473</v>
      </c>
      <c r="K784" t="s">
        <v>14</v>
      </c>
    </row>
    <row r="785" spans="1:11" x14ac:dyDescent="0.3">
      <c r="A785">
        <v>948</v>
      </c>
      <c r="B785" t="s">
        <v>63</v>
      </c>
      <c r="C785" t="s">
        <v>13</v>
      </c>
      <c r="D785">
        <v>15</v>
      </c>
      <c r="E785">
        <v>65</v>
      </c>
      <c r="F785" t="s">
        <v>62</v>
      </c>
      <c r="G785">
        <v>48.406339000000003</v>
      </c>
      <c r="H785">
        <v>18.841070999999999</v>
      </c>
      <c r="I785" t="s">
        <v>61</v>
      </c>
      <c r="J785" s="12">
        <v>45358</v>
      </c>
      <c r="K785" t="s">
        <v>23</v>
      </c>
    </row>
    <row r="786" spans="1:11" x14ac:dyDescent="0.3">
      <c r="A786">
        <v>949</v>
      </c>
      <c r="B786" t="s">
        <v>63</v>
      </c>
      <c r="C786" t="s">
        <v>13</v>
      </c>
      <c r="D786">
        <v>18</v>
      </c>
      <c r="E786">
        <v>85</v>
      </c>
      <c r="F786" t="s">
        <v>59</v>
      </c>
      <c r="G786">
        <v>48.411729000000001</v>
      </c>
      <c r="H786">
        <v>18.835591000000001</v>
      </c>
      <c r="I786" t="s">
        <v>61</v>
      </c>
      <c r="J786" s="12">
        <v>45358</v>
      </c>
      <c r="K786" t="s">
        <v>23</v>
      </c>
    </row>
    <row r="787" spans="1:11" x14ac:dyDescent="0.3">
      <c r="A787">
        <v>950</v>
      </c>
      <c r="B787" t="s">
        <v>64</v>
      </c>
      <c r="C787" t="s">
        <v>13</v>
      </c>
      <c r="D787">
        <v>0.29699999999999999</v>
      </c>
      <c r="E787">
        <v>20</v>
      </c>
      <c r="F787" t="s">
        <v>60</v>
      </c>
      <c r="G787">
        <v>49.054132000000003</v>
      </c>
      <c r="H787">
        <v>22.411066000000002</v>
      </c>
      <c r="I787" t="s">
        <v>61</v>
      </c>
      <c r="J787" s="12">
        <v>45358</v>
      </c>
      <c r="K787" t="s">
        <v>23</v>
      </c>
    </row>
    <row r="788" spans="1:11" x14ac:dyDescent="0.3">
      <c r="A788">
        <v>951</v>
      </c>
      <c r="B788" t="s">
        <v>64</v>
      </c>
      <c r="C788" t="s">
        <v>13</v>
      </c>
      <c r="D788">
        <v>0.27300000000000002</v>
      </c>
      <c r="E788">
        <v>23</v>
      </c>
      <c r="F788" t="s">
        <v>62</v>
      </c>
      <c r="G788">
        <v>49.055962000000001</v>
      </c>
      <c r="H788">
        <v>22.425526999999999</v>
      </c>
      <c r="I788" t="s">
        <v>61</v>
      </c>
      <c r="J788" s="12">
        <v>45358</v>
      </c>
      <c r="K788" t="s">
        <v>23</v>
      </c>
    </row>
    <row r="789" spans="1:11" x14ac:dyDescent="0.3">
      <c r="A789">
        <v>952</v>
      </c>
      <c r="B789" t="s">
        <v>64</v>
      </c>
      <c r="C789" t="s">
        <v>13</v>
      </c>
      <c r="D789">
        <v>0.254</v>
      </c>
      <c r="E789">
        <v>19</v>
      </c>
      <c r="F789" t="s">
        <v>59</v>
      </c>
      <c r="G789">
        <v>49.055646000000003</v>
      </c>
      <c r="H789">
        <v>22.412458000000001</v>
      </c>
      <c r="I789" t="s">
        <v>61</v>
      </c>
      <c r="J789" s="12">
        <v>45358</v>
      </c>
      <c r="K789" t="s">
        <v>23</v>
      </c>
    </row>
    <row r="790" spans="1:11" x14ac:dyDescent="0.3">
      <c r="A790">
        <v>953</v>
      </c>
      <c r="B790" t="s">
        <v>64</v>
      </c>
      <c r="C790" t="s">
        <v>13</v>
      </c>
      <c r="D790">
        <v>0.30499999999999999</v>
      </c>
      <c r="E790">
        <v>20</v>
      </c>
      <c r="F790" t="s">
        <v>62</v>
      </c>
      <c r="G790">
        <v>49.052909999999997</v>
      </c>
      <c r="H790">
        <v>22.420860999999999</v>
      </c>
      <c r="I790" t="s">
        <v>61</v>
      </c>
      <c r="J790" s="12">
        <v>45358</v>
      </c>
      <c r="K790" t="s">
        <v>23</v>
      </c>
    </row>
    <row r="791" spans="1:11" x14ac:dyDescent="0.3">
      <c r="A791">
        <v>954</v>
      </c>
      <c r="B791" t="s">
        <v>64</v>
      </c>
      <c r="C791" t="s">
        <v>13</v>
      </c>
      <c r="D791">
        <v>0.32700000000000001</v>
      </c>
      <c r="E791">
        <v>19</v>
      </c>
      <c r="F791" t="s">
        <v>62</v>
      </c>
      <c r="G791">
        <v>49.055546999999997</v>
      </c>
      <c r="H791">
        <v>22.411172000000001</v>
      </c>
      <c r="I791" t="s">
        <v>61</v>
      </c>
      <c r="J791" s="12">
        <v>45358</v>
      </c>
      <c r="K791" t="s">
        <v>23</v>
      </c>
    </row>
    <row r="792" spans="1:11" x14ac:dyDescent="0.3">
      <c r="A792">
        <v>955</v>
      </c>
      <c r="B792" t="s">
        <v>64</v>
      </c>
      <c r="C792" t="s">
        <v>13</v>
      </c>
      <c r="D792">
        <v>0.30499999999999999</v>
      </c>
      <c r="E792">
        <v>20</v>
      </c>
      <c r="F792" t="s">
        <v>59</v>
      </c>
      <c r="G792">
        <v>49.054647000000003</v>
      </c>
      <c r="H792">
        <v>22.410444999999999</v>
      </c>
      <c r="I792" t="s">
        <v>61</v>
      </c>
      <c r="J792" s="12">
        <v>45358</v>
      </c>
      <c r="K792" t="s">
        <v>23</v>
      </c>
    </row>
    <row r="793" spans="1:11" x14ac:dyDescent="0.3">
      <c r="A793">
        <v>957</v>
      </c>
      <c r="B793" t="s">
        <v>65</v>
      </c>
      <c r="C793" t="s">
        <v>13</v>
      </c>
      <c r="D793">
        <v>1</v>
      </c>
      <c r="E793">
        <v>17</v>
      </c>
      <c r="F793" t="s">
        <v>59</v>
      </c>
      <c r="G793">
        <v>48.226063000000003</v>
      </c>
      <c r="H793">
        <v>17.078596000000001</v>
      </c>
      <c r="I793" t="s">
        <v>61</v>
      </c>
      <c r="J793" s="12">
        <v>45419</v>
      </c>
      <c r="K793" t="s">
        <v>23</v>
      </c>
    </row>
    <row r="794" spans="1:11" x14ac:dyDescent="0.3">
      <c r="A794">
        <v>958</v>
      </c>
      <c r="B794" t="s">
        <v>65</v>
      </c>
      <c r="C794" t="s">
        <v>13</v>
      </c>
      <c r="D794">
        <v>0.6</v>
      </c>
      <c r="E794">
        <v>16</v>
      </c>
      <c r="F794" t="s">
        <v>62</v>
      </c>
      <c r="G794">
        <v>48.238067000000001</v>
      </c>
      <c r="H794">
        <v>17.090890999999999</v>
      </c>
      <c r="I794" t="s">
        <v>61</v>
      </c>
      <c r="J794" s="12">
        <v>45419</v>
      </c>
      <c r="K794" t="s">
        <v>23</v>
      </c>
    </row>
    <row r="795" spans="1:11" x14ac:dyDescent="0.3">
      <c r="A795">
        <v>959</v>
      </c>
      <c r="B795" t="s">
        <v>65</v>
      </c>
      <c r="C795" t="s">
        <v>13</v>
      </c>
      <c r="D795">
        <v>1.1000000000000001</v>
      </c>
      <c r="E795">
        <v>20</v>
      </c>
      <c r="F795" t="s">
        <v>62</v>
      </c>
      <c r="G795">
        <v>48.239539999999998</v>
      </c>
      <c r="H795">
        <v>17.066718999999999</v>
      </c>
      <c r="I795" t="s">
        <v>61</v>
      </c>
      <c r="J795" s="12">
        <v>45419</v>
      </c>
      <c r="K795" t="s">
        <v>23</v>
      </c>
    </row>
    <row r="796" spans="1:11" x14ac:dyDescent="0.3">
      <c r="A796">
        <v>960</v>
      </c>
      <c r="B796" t="s">
        <v>64</v>
      </c>
      <c r="C796" t="s">
        <v>13</v>
      </c>
      <c r="D796">
        <v>0.32700000000000001</v>
      </c>
      <c r="E796">
        <v>23</v>
      </c>
      <c r="F796" t="s">
        <v>59</v>
      </c>
      <c r="G796">
        <v>49.057284000000003</v>
      </c>
      <c r="H796">
        <v>22.423860999999999</v>
      </c>
      <c r="I796" t="s">
        <v>61</v>
      </c>
      <c r="J796" s="12">
        <v>45359</v>
      </c>
      <c r="K796" t="s">
        <v>23</v>
      </c>
    </row>
    <row r="797" spans="1:11" x14ac:dyDescent="0.3">
      <c r="A797">
        <v>961</v>
      </c>
      <c r="B797" t="s">
        <v>64</v>
      </c>
      <c r="C797" t="s">
        <v>13</v>
      </c>
      <c r="D797">
        <v>0.31900000000000001</v>
      </c>
      <c r="E797">
        <v>22</v>
      </c>
      <c r="F797" t="s">
        <v>62</v>
      </c>
      <c r="G797">
        <v>49.054751000000003</v>
      </c>
      <c r="H797">
        <v>22.419160000000002</v>
      </c>
      <c r="I797" t="s">
        <v>61</v>
      </c>
      <c r="J797" s="12">
        <v>45359</v>
      </c>
      <c r="K797" t="s">
        <v>23</v>
      </c>
    </row>
    <row r="798" spans="1:11" x14ac:dyDescent="0.3">
      <c r="A798">
        <v>962</v>
      </c>
      <c r="B798" t="s">
        <v>64</v>
      </c>
      <c r="C798" t="s">
        <v>13</v>
      </c>
      <c r="D798">
        <v>0.30299999999999999</v>
      </c>
      <c r="E798">
        <v>20</v>
      </c>
      <c r="F798" t="s">
        <v>59</v>
      </c>
      <c r="G798">
        <v>49.055929999999996</v>
      </c>
      <c r="H798">
        <v>22.424085000000002</v>
      </c>
      <c r="I798" t="s">
        <v>61</v>
      </c>
      <c r="J798" s="12">
        <v>45359</v>
      </c>
      <c r="K798" t="s">
        <v>23</v>
      </c>
    </row>
    <row r="799" spans="1:11" x14ac:dyDescent="0.3">
      <c r="A799">
        <v>964</v>
      </c>
      <c r="B799" t="s">
        <v>63</v>
      </c>
      <c r="C799" t="s">
        <v>13</v>
      </c>
      <c r="D799">
        <v>12</v>
      </c>
      <c r="E799">
        <v>61</v>
      </c>
      <c r="F799" t="s">
        <v>59</v>
      </c>
      <c r="G799">
        <v>48.413927999999999</v>
      </c>
      <c r="H799">
        <v>18.835280999999998</v>
      </c>
      <c r="I799" t="s">
        <v>61</v>
      </c>
      <c r="J799" s="12">
        <v>45360</v>
      </c>
      <c r="K799" t="s">
        <v>23</v>
      </c>
    </row>
    <row r="800" spans="1:11" x14ac:dyDescent="0.3">
      <c r="A800">
        <v>965</v>
      </c>
      <c r="B800" t="s">
        <v>64</v>
      </c>
      <c r="C800" t="s">
        <v>13</v>
      </c>
      <c r="D800">
        <v>0.309</v>
      </c>
      <c r="E800">
        <v>20</v>
      </c>
      <c r="F800" t="s">
        <v>62</v>
      </c>
      <c r="G800">
        <v>49.057758</v>
      </c>
      <c r="H800">
        <v>22.415168999999999</v>
      </c>
      <c r="I800" t="s">
        <v>61</v>
      </c>
      <c r="J800" s="12">
        <v>45360</v>
      </c>
      <c r="K800" t="s">
        <v>23</v>
      </c>
    </row>
    <row r="801" spans="1:11" x14ac:dyDescent="0.3">
      <c r="A801">
        <v>966</v>
      </c>
      <c r="B801" t="s">
        <v>64</v>
      </c>
      <c r="C801" t="s">
        <v>13</v>
      </c>
      <c r="D801">
        <v>0.33200000000000002</v>
      </c>
      <c r="E801">
        <v>19</v>
      </c>
      <c r="F801" t="s">
        <v>59</v>
      </c>
      <c r="G801">
        <v>48.185695000000003</v>
      </c>
      <c r="H801">
        <v>17.090741999999999</v>
      </c>
      <c r="I801" t="s">
        <v>61</v>
      </c>
      <c r="J801" s="12">
        <v>45360</v>
      </c>
      <c r="K801" t="s">
        <v>23</v>
      </c>
    </row>
    <row r="802" spans="1:11" x14ac:dyDescent="0.3">
      <c r="A802">
        <v>967</v>
      </c>
      <c r="B802" t="s">
        <v>64</v>
      </c>
      <c r="C802" t="s">
        <v>13</v>
      </c>
      <c r="D802">
        <v>0.33100000000000002</v>
      </c>
      <c r="E802">
        <v>18</v>
      </c>
      <c r="F802" t="s">
        <v>62</v>
      </c>
      <c r="G802">
        <v>48.186039999999998</v>
      </c>
      <c r="H802">
        <v>17.091146999999999</v>
      </c>
      <c r="I802" t="s">
        <v>61</v>
      </c>
      <c r="J802" s="12">
        <v>45362</v>
      </c>
      <c r="K802" t="s">
        <v>23</v>
      </c>
    </row>
    <row r="803" spans="1:11" x14ac:dyDescent="0.3">
      <c r="A803">
        <v>972</v>
      </c>
      <c r="B803" t="s">
        <v>65</v>
      </c>
      <c r="C803" t="s">
        <v>7</v>
      </c>
      <c r="D803">
        <v>0.84565217391304304</v>
      </c>
      <c r="E803">
        <v>20.985294117647001</v>
      </c>
      <c r="F803" t="s">
        <v>59</v>
      </c>
      <c r="G803">
        <v>47.509754999999998</v>
      </c>
      <c r="H803">
        <v>18.949465</v>
      </c>
      <c r="I803" t="s">
        <v>61</v>
      </c>
      <c r="J803" s="12">
        <v>45413</v>
      </c>
      <c r="K803" t="s">
        <v>6</v>
      </c>
    </row>
    <row r="804" spans="1:11" x14ac:dyDescent="0.3">
      <c r="A804">
        <v>973</v>
      </c>
      <c r="B804" t="s">
        <v>65</v>
      </c>
      <c r="C804" t="s">
        <v>7</v>
      </c>
      <c r="D804">
        <v>0.9</v>
      </c>
      <c r="E804">
        <v>16</v>
      </c>
      <c r="F804" t="s">
        <v>62</v>
      </c>
      <c r="G804">
        <v>47.507052999999999</v>
      </c>
      <c r="H804">
        <v>18.943306</v>
      </c>
      <c r="I804" t="s">
        <v>61</v>
      </c>
      <c r="J804" s="12">
        <v>45413</v>
      </c>
      <c r="K804" t="s">
        <v>6</v>
      </c>
    </row>
    <row r="805" spans="1:11" x14ac:dyDescent="0.3">
      <c r="A805">
        <v>974</v>
      </c>
      <c r="B805" t="s">
        <v>64</v>
      </c>
      <c r="C805" t="s">
        <v>4</v>
      </c>
      <c r="D805">
        <v>0.28100000000000003</v>
      </c>
      <c r="E805">
        <v>21</v>
      </c>
      <c r="F805" t="s">
        <v>59</v>
      </c>
      <c r="G805">
        <v>52.211984999999999</v>
      </c>
      <c r="H805">
        <v>21.032869000000002</v>
      </c>
      <c r="I805" t="s">
        <v>61</v>
      </c>
      <c r="J805" s="12">
        <v>45413</v>
      </c>
      <c r="K805" t="s">
        <v>6</v>
      </c>
    </row>
    <row r="806" spans="1:11" x14ac:dyDescent="0.3">
      <c r="A806">
        <v>975</v>
      </c>
      <c r="B806" t="s">
        <v>65</v>
      </c>
      <c r="C806" t="s">
        <v>13</v>
      </c>
      <c r="D806">
        <v>0.6</v>
      </c>
      <c r="E806">
        <v>19</v>
      </c>
      <c r="F806" t="s">
        <v>62</v>
      </c>
      <c r="G806">
        <v>48.184621</v>
      </c>
      <c r="H806">
        <v>17.089464</v>
      </c>
      <c r="I806" t="s">
        <v>61</v>
      </c>
      <c r="J806" s="12">
        <v>45413</v>
      </c>
      <c r="K806" t="s">
        <v>14</v>
      </c>
    </row>
    <row r="807" spans="1:11" x14ac:dyDescent="0.3">
      <c r="A807">
        <v>976</v>
      </c>
      <c r="B807" t="s">
        <v>63</v>
      </c>
      <c r="C807" t="s">
        <v>13</v>
      </c>
      <c r="D807">
        <v>27</v>
      </c>
      <c r="E807">
        <v>96</v>
      </c>
      <c r="F807" t="s">
        <v>59</v>
      </c>
      <c r="G807">
        <v>48.406669000000001</v>
      </c>
      <c r="H807">
        <v>18.871601999999999</v>
      </c>
      <c r="I807" t="s">
        <v>61</v>
      </c>
      <c r="J807" s="12">
        <v>45413</v>
      </c>
      <c r="K807" t="s">
        <v>14</v>
      </c>
    </row>
    <row r="808" spans="1:11" x14ac:dyDescent="0.3">
      <c r="A808">
        <v>978</v>
      </c>
      <c r="B808" t="s">
        <v>63</v>
      </c>
      <c r="C808" t="s">
        <v>4</v>
      </c>
      <c r="D808">
        <v>13</v>
      </c>
      <c r="E808">
        <v>63</v>
      </c>
      <c r="F808" t="s">
        <v>62</v>
      </c>
      <c r="G808">
        <v>52.846378999999999</v>
      </c>
      <c r="H808">
        <v>23.904990000000002</v>
      </c>
      <c r="I808" t="s">
        <v>61</v>
      </c>
      <c r="J808" s="12">
        <v>45414</v>
      </c>
      <c r="K808" t="s">
        <v>6</v>
      </c>
    </row>
    <row r="809" spans="1:11" x14ac:dyDescent="0.3">
      <c r="A809">
        <v>979</v>
      </c>
      <c r="B809" t="s">
        <v>63</v>
      </c>
      <c r="C809" t="s">
        <v>4</v>
      </c>
      <c r="D809">
        <v>20</v>
      </c>
      <c r="E809">
        <v>87</v>
      </c>
      <c r="F809" t="s">
        <v>62</v>
      </c>
      <c r="G809">
        <v>52.852069</v>
      </c>
      <c r="H809">
        <v>23.900870000000001</v>
      </c>
      <c r="I809" t="s">
        <v>61</v>
      </c>
      <c r="J809" s="12">
        <v>45414</v>
      </c>
      <c r="K809" t="s">
        <v>6</v>
      </c>
    </row>
    <row r="810" spans="1:11" x14ac:dyDescent="0.3">
      <c r="A810">
        <v>980</v>
      </c>
      <c r="B810" t="s">
        <v>64</v>
      </c>
      <c r="C810" t="s">
        <v>4</v>
      </c>
      <c r="D810">
        <v>0.28199999999999997</v>
      </c>
      <c r="E810">
        <v>22</v>
      </c>
      <c r="F810" t="s">
        <v>62</v>
      </c>
      <c r="G810">
        <v>52.212910999999998</v>
      </c>
      <c r="H810">
        <v>21.034175000000001</v>
      </c>
      <c r="I810" t="s">
        <v>61</v>
      </c>
      <c r="J810" s="12">
        <v>45414</v>
      </c>
      <c r="K810" t="s">
        <v>6</v>
      </c>
    </row>
    <row r="811" spans="1:11" x14ac:dyDescent="0.3">
      <c r="A811">
        <v>981</v>
      </c>
      <c r="B811" t="s">
        <v>64</v>
      </c>
      <c r="C811" t="s">
        <v>11</v>
      </c>
      <c r="D811">
        <v>0.30499999999999999</v>
      </c>
      <c r="E811">
        <v>21</v>
      </c>
      <c r="F811" t="s">
        <v>62</v>
      </c>
      <c r="G811">
        <v>48.162609000000003</v>
      </c>
      <c r="H811">
        <v>11.494157</v>
      </c>
      <c r="I811" t="s">
        <v>61</v>
      </c>
      <c r="J811" s="12">
        <v>45414</v>
      </c>
      <c r="K811" t="s">
        <v>12</v>
      </c>
    </row>
    <row r="812" spans="1:11" x14ac:dyDescent="0.3">
      <c r="A812">
        <v>982</v>
      </c>
      <c r="B812" t="s">
        <v>58</v>
      </c>
      <c r="C812" t="s">
        <v>15</v>
      </c>
      <c r="D812">
        <v>727</v>
      </c>
      <c r="E812">
        <v>210</v>
      </c>
      <c r="F812" t="s">
        <v>59</v>
      </c>
      <c r="G812">
        <v>50.643056000000001</v>
      </c>
      <c r="H812">
        <v>14.843037000000001</v>
      </c>
      <c r="I812" t="s">
        <v>61</v>
      </c>
      <c r="J812" s="12">
        <v>45414</v>
      </c>
      <c r="K812" t="s">
        <v>14</v>
      </c>
    </row>
    <row r="813" spans="1:11" x14ac:dyDescent="0.3">
      <c r="A813">
        <v>983</v>
      </c>
      <c r="B813" t="s">
        <v>63</v>
      </c>
      <c r="C813" t="s">
        <v>13</v>
      </c>
      <c r="D813">
        <v>25</v>
      </c>
      <c r="E813">
        <v>107</v>
      </c>
      <c r="F813" t="s">
        <v>62</v>
      </c>
      <c r="G813">
        <v>48.408475000000003</v>
      </c>
      <c r="H813">
        <v>18.872534999999999</v>
      </c>
      <c r="I813" t="s">
        <v>61</v>
      </c>
      <c r="J813" s="12">
        <v>45414</v>
      </c>
      <c r="K813" t="s">
        <v>14</v>
      </c>
    </row>
    <row r="814" spans="1:11" x14ac:dyDescent="0.3">
      <c r="A814">
        <v>985</v>
      </c>
      <c r="B814" t="s">
        <v>65</v>
      </c>
      <c r="C814" t="s">
        <v>7</v>
      </c>
      <c r="D814">
        <v>1.2</v>
      </c>
      <c r="E814">
        <v>26</v>
      </c>
      <c r="F814" t="s">
        <v>59</v>
      </c>
      <c r="G814">
        <v>47.509103000000003</v>
      </c>
      <c r="H814">
        <v>18.948170999999999</v>
      </c>
      <c r="I814" t="s">
        <v>61</v>
      </c>
      <c r="J814" s="12">
        <v>45415</v>
      </c>
      <c r="K814" t="s">
        <v>6</v>
      </c>
    </row>
    <row r="815" spans="1:11" x14ac:dyDescent="0.3">
      <c r="A815">
        <v>986</v>
      </c>
      <c r="B815" t="s">
        <v>65</v>
      </c>
      <c r="C815" t="s">
        <v>13</v>
      </c>
      <c r="D815">
        <v>1.1000000000000001</v>
      </c>
      <c r="E815">
        <v>22</v>
      </c>
      <c r="F815" t="s">
        <v>59</v>
      </c>
      <c r="G815">
        <v>48.183926999999997</v>
      </c>
      <c r="H815">
        <v>17.090716</v>
      </c>
      <c r="I815" t="s">
        <v>61</v>
      </c>
      <c r="J815" s="12">
        <v>45415</v>
      </c>
      <c r="K815" t="s">
        <v>14</v>
      </c>
    </row>
    <row r="816" spans="1:11" x14ac:dyDescent="0.3">
      <c r="A816">
        <v>987</v>
      </c>
      <c r="B816" t="s">
        <v>64</v>
      </c>
      <c r="C816" t="s">
        <v>4</v>
      </c>
      <c r="D816">
        <v>0.317</v>
      </c>
      <c r="E816">
        <v>19</v>
      </c>
      <c r="F816" t="s">
        <v>62</v>
      </c>
      <c r="G816">
        <v>52.212310000000002</v>
      </c>
      <c r="H816">
        <v>21.033586</v>
      </c>
      <c r="I816" t="s">
        <v>19</v>
      </c>
      <c r="J816" s="12">
        <v>45416</v>
      </c>
      <c r="K816" t="s">
        <v>6</v>
      </c>
    </row>
    <row r="817" spans="1:11" x14ac:dyDescent="0.3">
      <c r="A817">
        <v>989</v>
      </c>
      <c r="B817" t="s">
        <v>65</v>
      </c>
      <c r="C817" t="s">
        <v>7</v>
      </c>
      <c r="D817">
        <v>0.7</v>
      </c>
      <c r="E817">
        <v>26</v>
      </c>
      <c r="F817" t="s">
        <v>59</v>
      </c>
      <c r="G817">
        <v>47.510697</v>
      </c>
      <c r="H817">
        <v>18.948588000000001</v>
      </c>
      <c r="I817" t="s">
        <v>61</v>
      </c>
      <c r="J817" s="12">
        <v>45417</v>
      </c>
      <c r="K817" t="s">
        <v>6</v>
      </c>
    </row>
    <row r="818" spans="1:11" x14ac:dyDescent="0.3">
      <c r="A818">
        <v>990</v>
      </c>
      <c r="B818" t="s">
        <v>65</v>
      </c>
      <c r="C818" t="s">
        <v>7</v>
      </c>
      <c r="D818">
        <v>1.1000000000000001</v>
      </c>
      <c r="E818">
        <v>21</v>
      </c>
      <c r="F818" t="s">
        <v>62</v>
      </c>
      <c r="G818">
        <v>47.505903000000004</v>
      </c>
      <c r="H818">
        <v>18.948537999999999</v>
      </c>
      <c r="I818" t="s">
        <v>61</v>
      </c>
      <c r="J818" s="12">
        <v>45417</v>
      </c>
      <c r="K818" t="s">
        <v>6</v>
      </c>
    </row>
    <row r="819" spans="1:11" x14ac:dyDescent="0.3">
      <c r="A819">
        <v>991</v>
      </c>
      <c r="B819" t="s">
        <v>63</v>
      </c>
      <c r="C819" t="s">
        <v>4</v>
      </c>
      <c r="D819">
        <v>24</v>
      </c>
      <c r="E819">
        <v>89</v>
      </c>
      <c r="F819" t="s">
        <v>62</v>
      </c>
      <c r="G819">
        <v>52.847482999999997</v>
      </c>
      <c r="H819">
        <v>23.906057000000001</v>
      </c>
      <c r="I819" t="s">
        <v>61</v>
      </c>
      <c r="J819" s="12">
        <v>45417</v>
      </c>
      <c r="K819" t="s">
        <v>6</v>
      </c>
    </row>
    <row r="820" spans="1:11" x14ac:dyDescent="0.3">
      <c r="A820">
        <v>992</v>
      </c>
      <c r="B820" t="s">
        <v>65</v>
      </c>
      <c r="C820" t="s">
        <v>11</v>
      </c>
      <c r="D820">
        <v>0.6</v>
      </c>
      <c r="E820">
        <v>23</v>
      </c>
      <c r="F820" t="s">
        <v>62</v>
      </c>
      <c r="G820">
        <v>49.561219999999999</v>
      </c>
      <c r="H820">
        <v>11.082195</v>
      </c>
      <c r="I820" t="s">
        <v>61</v>
      </c>
      <c r="J820" s="12">
        <v>45417</v>
      </c>
      <c r="K820" t="s">
        <v>12</v>
      </c>
    </row>
    <row r="821" spans="1:11" x14ac:dyDescent="0.3">
      <c r="A821">
        <v>993</v>
      </c>
      <c r="B821" t="s">
        <v>65</v>
      </c>
      <c r="C821" t="s">
        <v>11</v>
      </c>
      <c r="D821">
        <v>0.7</v>
      </c>
      <c r="E821">
        <v>21</v>
      </c>
      <c r="F821" t="s">
        <v>62</v>
      </c>
      <c r="G821">
        <v>49.559522999999999</v>
      </c>
      <c r="H821">
        <v>11.103683999999999</v>
      </c>
      <c r="I821" t="s">
        <v>61</v>
      </c>
      <c r="J821" s="12">
        <v>45417</v>
      </c>
      <c r="K821" t="s">
        <v>12</v>
      </c>
    </row>
    <row r="822" spans="1:11" x14ac:dyDescent="0.3">
      <c r="A822">
        <v>994</v>
      </c>
      <c r="B822" t="s">
        <v>65</v>
      </c>
      <c r="C822" t="s">
        <v>11</v>
      </c>
      <c r="D822">
        <v>0.6</v>
      </c>
      <c r="E822">
        <v>23</v>
      </c>
      <c r="F822" t="s">
        <v>59</v>
      </c>
      <c r="G822">
        <v>49.547725</v>
      </c>
      <c r="H822">
        <v>11.082734</v>
      </c>
      <c r="I822" t="s">
        <v>61</v>
      </c>
      <c r="J822" s="12">
        <v>45417</v>
      </c>
      <c r="K822" t="s">
        <v>12</v>
      </c>
    </row>
    <row r="823" spans="1:11" x14ac:dyDescent="0.3">
      <c r="A823">
        <v>995</v>
      </c>
      <c r="B823" t="s">
        <v>65</v>
      </c>
      <c r="C823" t="s">
        <v>13</v>
      </c>
      <c r="D823">
        <v>1</v>
      </c>
      <c r="E823">
        <v>21</v>
      </c>
      <c r="F823" t="s">
        <v>59</v>
      </c>
      <c r="G823">
        <v>48.185893</v>
      </c>
      <c r="H823">
        <v>17.08942</v>
      </c>
      <c r="I823" t="s">
        <v>61</v>
      </c>
      <c r="J823" s="12">
        <v>45417</v>
      </c>
      <c r="K823" t="s">
        <v>14</v>
      </c>
    </row>
    <row r="824" spans="1:11" x14ac:dyDescent="0.3">
      <c r="A824">
        <v>996</v>
      </c>
      <c r="B824" t="s">
        <v>65</v>
      </c>
      <c r="C824" t="s">
        <v>13</v>
      </c>
      <c r="D824">
        <v>0.4</v>
      </c>
      <c r="E824">
        <v>16</v>
      </c>
      <c r="F824" t="s">
        <v>59</v>
      </c>
      <c r="G824">
        <v>48.187845000000003</v>
      </c>
      <c r="H824">
        <v>17.086572</v>
      </c>
      <c r="I824" t="s">
        <v>61</v>
      </c>
      <c r="J824" s="12">
        <v>45417</v>
      </c>
      <c r="K824" t="s">
        <v>14</v>
      </c>
    </row>
    <row r="825" spans="1:11" x14ac:dyDescent="0.3">
      <c r="A825">
        <v>997</v>
      </c>
      <c r="B825" t="s">
        <v>65</v>
      </c>
      <c r="C825" t="s">
        <v>13</v>
      </c>
      <c r="D825">
        <v>0.7</v>
      </c>
      <c r="E825">
        <v>19</v>
      </c>
      <c r="F825" t="s">
        <v>62</v>
      </c>
      <c r="G825">
        <v>48.184277999999999</v>
      </c>
      <c r="H825">
        <v>17.086877999999999</v>
      </c>
      <c r="I825" t="s">
        <v>61</v>
      </c>
      <c r="J825" s="12">
        <v>45417</v>
      </c>
      <c r="K825" t="s">
        <v>14</v>
      </c>
    </row>
    <row r="826" spans="1:11" x14ac:dyDescent="0.3">
      <c r="A826">
        <v>998</v>
      </c>
      <c r="B826" t="s">
        <v>64</v>
      </c>
      <c r="C826" t="s">
        <v>4</v>
      </c>
      <c r="D826">
        <v>0.30099999999999999</v>
      </c>
      <c r="E826">
        <v>22</v>
      </c>
      <c r="F826" t="s">
        <v>59</v>
      </c>
      <c r="G826">
        <v>52.212760000000003</v>
      </c>
      <c r="H826">
        <v>21.034189000000001</v>
      </c>
      <c r="I826" t="s">
        <v>61</v>
      </c>
      <c r="J826" s="12">
        <v>45418</v>
      </c>
      <c r="K826" t="s">
        <v>6</v>
      </c>
    </row>
    <row r="827" spans="1:11" x14ac:dyDescent="0.3">
      <c r="A827">
        <v>999</v>
      </c>
      <c r="B827" t="s">
        <v>64</v>
      </c>
      <c r="C827" t="s">
        <v>4</v>
      </c>
      <c r="D827">
        <v>0.34300000000000003</v>
      </c>
      <c r="E827">
        <v>22</v>
      </c>
      <c r="F827" t="s">
        <v>59</v>
      </c>
      <c r="G827">
        <v>52.212496999999999</v>
      </c>
      <c r="H827">
        <v>21.033515000000001</v>
      </c>
      <c r="I827" t="s">
        <v>61</v>
      </c>
      <c r="J827" s="12">
        <v>45418</v>
      </c>
      <c r="K827" t="s">
        <v>6</v>
      </c>
    </row>
    <row r="828" spans="1:11" x14ac:dyDescent="0.3">
      <c r="A828">
        <v>1000</v>
      </c>
      <c r="B828" t="s">
        <v>64</v>
      </c>
      <c r="C828" t="s">
        <v>4</v>
      </c>
      <c r="D828">
        <v>0.307</v>
      </c>
      <c r="E828">
        <v>20</v>
      </c>
      <c r="F828" t="s">
        <v>62</v>
      </c>
      <c r="G828">
        <v>52.212144000000002</v>
      </c>
      <c r="H828">
        <v>21.033534</v>
      </c>
      <c r="I828" t="s">
        <v>61</v>
      </c>
      <c r="J828" s="12">
        <v>45418</v>
      </c>
      <c r="K828" t="s">
        <v>6</v>
      </c>
    </row>
    <row r="829" spans="1:11" x14ac:dyDescent="0.3">
      <c r="A829">
        <v>1001</v>
      </c>
      <c r="B829" t="s">
        <v>65</v>
      </c>
      <c r="C829" t="s">
        <v>13</v>
      </c>
      <c r="D829">
        <v>0.8</v>
      </c>
      <c r="E829">
        <v>21</v>
      </c>
      <c r="F829" t="s">
        <v>59</v>
      </c>
      <c r="G829">
        <v>48.187468000000003</v>
      </c>
      <c r="H829">
        <v>17.088826999999998</v>
      </c>
      <c r="I829" t="s">
        <v>61</v>
      </c>
      <c r="J829" s="12">
        <v>45418</v>
      </c>
      <c r="K829" t="s">
        <v>14</v>
      </c>
    </row>
    <row r="830" spans="1:11" x14ac:dyDescent="0.3">
      <c r="A830">
        <v>1005</v>
      </c>
      <c r="B830" t="s">
        <v>65</v>
      </c>
      <c r="C830" t="s">
        <v>7</v>
      </c>
      <c r="D830">
        <v>0.9</v>
      </c>
      <c r="E830">
        <v>23</v>
      </c>
      <c r="F830" t="s">
        <v>59</v>
      </c>
      <c r="G830">
        <v>47.510055000000001</v>
      </c>
      <c r="H830">
        <v>18.944355999999999</v>
      </c>
      <c r="I830" t="s">
        <v>61</v>
      </c>
      <c r="J830" s="12">
        <v>45419</v>
      </c>
      <c r="K830" t="s">
        <v>6</v>
      </c>
    </row>
    <row r="831" spans="1:11" x14ac:dyDescent="0.3">
      <c r="A831">
        <v>1006</v>
      </c>
      <c r="B831" t="s">
        <v>64</v>
      </c>
      <c r="C831" t="s">
        <v>4</v>
      </c>
      <c r="D831">
        <v>0.34599999999999997</v>
      </c>
      <c r="E831">
        <v>20</v>
      </c>
      <c r="F831" t="s">
        <v>62</v>
      </c>
      <c r="G831">
        <v>52.212001000000001</v>
      </c>
      <c r="H831">
        <v>21.033187000000002</v>
      </c>
      <c r="I831" t="s">
        <v>16</v>
      </c>
      <c r="J831" s="12">
        <v>45419</v>
      </c>
      <c r="K831" t="s">
        <v>6</v>
      </c>
    </row>
    <row r="832" spans="1:11" x14ac:dyDescent="0.3">
      <c r="A832">
        <v>1007</v>
      </c>
      <c r="B832" t="s">
        <v>65</v>
      </c>
      <c r="C832" t="s">
        <v>11</v>
      </c>
      <c r="D832">
        <v>1</v>
      </c>
      <c r="E832">
        <v>23</v>
      </c>
      <c r="F832" t="s">
        <v>62</v>
      </c>
      <c r="G832">
        <v>49.561356000000004</v>
      </c>
      <c r="H832">
        <v>11.105333999999999</v>
      </c>
      <c r="I832" t="s">
        <v>61</v>
      </c>
      <c r="J832" s="12">
        <v>45419</v>
      </c>
      <c r="K832" t="s">
        <v>12</v>
      </c>
    </row>
    <row r="833" spans="1:11" x14ac:dyDescent="0.3">
      <c r="A833">
        <v>1008</v>
      </c>
      <c r="B833" t="s">
        <v>65</v>
      </c>
      <c r="C833" t="s">
        <v>11</v>
      </c>
      <c r="D833">
        <v>0.5</v>
      </c>
      <c r="E833">
        <v>17</v>
      </c>
      <c r="F833" t="s">
        <v>62</v>
      </c>
      <c r="G833">
        <v>49.561568999999999</v>
      </c>
      <c r="H833">
        <v>11.087046000000001</v>
      </c>
      <c r="I833" t="s">
        <v>61</v>
      </c>
      <c r="J833" s="12">
        <v>45419</v>
      </c>
      <c r="K833" t="s">
        <v>12</v>
      </c>
    </row>
    <row r="834" spans="1:11" x14ac:dyDescent="0.3">
      <c r="A834">
        <v>1010</v>
      </c>
      <c r="B834" t="s">
        <v>65</v>
      </c>
      <c r="C834" t="s">
        <v>7</v>
      </c>
      <c r="D834">
        <v>0.9</v>
      </c>
      <c r="E834">
        <v>16</v>
      </c>
      <c r="F834" t="s">
        <v>62</v>
      </c>
      <c r="G834">
        <v>47.509860000000003</v>
      </c>
      <c r="H834">
        <v>18.939943</v>
      </c>
      <c r="I834" t="s">
        <v>61</v>
      </c>
      <c r="J834" s="12">
        <v>45420</v>
      </c>
      <c r="K83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0141-EFD1-4D54-9570-06F355152683}">
  <dimension ref="A1:P834"/>
  <sheetViews>
    <sheetView workbookViewId="0">
      <selection activeCell="H20" sqref="A1:P834"/>
    </sheetView>
  </sheetViews>
  <sheetFormatPr defaultRowHeight="14.4" x14ac:dyDescent="0.3"/>
  <cols>
    <col min="1" max="1" width="5.21875" style="2" bestFit="1" customWidth="1"/>
    <col min="2" max="2" width="13.5546875" style="2" bestFit="1" customWidth="1"/>
    <col min="3" max="3" width="13.44140625" style="2" bestFit="1" customWidth="1"/>
    <col min="4" max="4" width="12.77734375" style="1" bestFit="1" customWidth="1"/>
    <col min="5" max="5" width="16.21875" style="1" bestFit="1" customWidth="1"/>
    <col min="6" max="6" width="18.21875" style="2" bestFit="1" customWidth="1"/>
    <col min="7" max="7" width="21.109375" style="2" bestFit="1" customWidth="1"/>
    <col min="8" max="8" width="8.44140625" style="2" bestFit="1" customWidth="1"/>
    <col min="9" max="9" width="10" style="2" bestFit="1" customWidth="1"/>
    <col min="10" max="10" width="10.109375" style="2" bestFit="1" customWidth="1"/>
    <col min="11" max="11" width="15.33203125" style="2" bestFit="1" customWidth="1"/>
    <col min="12" max="12" width="13.44140625" style="2" customWidth="1"/>
    <col min="13" max="13" width="17.21875" style="2" bestFit="1" customWidth="1"/>
    <col min="14" max="14" width="18.77734375" style="2" bestFit="1" customWidth="1"/>
    <col min="15" max="15" width="17.6640625" style="2" bestFit="1" customWidth="1"/>
    <col min="16" max="16" width="18.88671875" bestFit="1" customWidth="1"/>
  </cols>
  <sheetData>
    <row r="1" spans="1:16" ht="15.6" x14ac:dyDescent="0.3">
      <c r="A1" s="4" t="s">
        <v>24</v>
      </c>
      <c r="B1" s="4" t="s">
        <v>25</v>
      </c>
      <c r="C1" s="4" t="s">
        <v>0</v>
      </c>
      <c r="D1" s="5" t="s">
        <v>26</v>
      </c>
      <c r="E1" s="6" t="s">
        <v>39</v>
      </c>
      <c r="F1" s="4" t="s">
        <v>31</v>
      </c>
      <c r="G1" s="4" t="s">
        <v>40</v>
      </c>
      <c r="H1" s="4" t="s">
        <v>1</v>
      </c>
      <c r="I1" s="4" t="s">
        <v>2</v>
      </c>
      <c r="J1" s="4" t="s">
        <v>3</v>
      </c>
      <c r="K1" s="4" t="s">
        <v>34</v>
      </c>
      <c r="L1" s="4" t="s">
        <v>35</v>
      </c>
      <c r="M1" s="4" t="s">
        <v>36</v>
      </c>
      <c r="N1" s="4" t="s">
        <v>38</v>
      </c>
      <c r="O1" s="4" t="s">
        <v>37</v>
      </c>
      <c r="P1" s="7" t="s">
        <v>41</v>
      </c>
    </row>
    <row r="2" spans="1:16" x14ac:dyDescent="0.3">
      <c r="A2" s="2">
        <f>ROW()-1</f>
        <v>1</v>
      </c>
      <c r="B2" s="2" t="s">
        <v>27</v>
      </c>
      <c r="C2" s="2" t="s">
        <v>4</v>
      </c>
      <c r="D2" s="1">
        <v>930</v>
      </c>
      <c r="E2" s="1" t="str" cm="1">
        <f t="array" ref="E2">_xlfn.IFS(
D2&lt;20,"Light",
D2&lt;50,"Medium",
D2&lt;100,"Heavy",
D2&gt;=100,"Very Heavy")</f>
        <v>Very Heavy</v>
      </c>
      <c r="F2" s="2">
        <v>335</v>
      </c>
      <c r="G2" s="2" t="str" cm="1">
        <f t="array" ref="G2">_xlfn.IFS(
F2&lt;50,"Small",
F2&lt;100,"Medium",
F2&lt;150,"Large",
F2&gt;=150,"Very Large"
)</f>
        <v>Very Large</v>
      </c>
      <c r="H2" s="2" t="s">
        <v>32</v>
      </c>
      <c r="I2" s="2">
        <v>52.828845000000001</v>
      </c>
      <c r="J2" s="2">
        <v>23.820143999999999</v>
      </c>
      <c r="K2" s="2" t="str">
        <f>IF(OR(I2="",J2=""),"Missing Location","Available")</f>
        <v>Available</v>
      </c>
      <c r="L2" s="2" t="s">
        <v>5</v>
      </c>
      <c r="M2" s="3">
        <v>45352</v>
      </c>
      <c r="N2" s="3" t="str">
        <f>TEXT(M2,"mmmm")</f>
        <v>March</v>
      </c>
      <c r="O2" s="2" t="s">
        <v>6</v>
      </c>
      <c r="P2" t="str">
        <f>IF(OR(B2="",C2="",D2="",E2="",J2=""),"Needs Review","OK")</f>
        <v>OK</v>
      </c>
    </row>
    <row r="3" spans="1:16" x14ac:dyDescent="0.3">
      <c r="A3" s="2">
        <f t="shared" ref="A3:A66" si="0">ROW()-1</f>
        <v>2</v>
      </c>
      <c r="B3" s="2" t="s">
        <v>27</v>
      </c>
      <c r="C3" s="2" t="s">
        <v>4</v>
      </c>
      <c r="D3" s="1">
        <v>909</v>
      </c>
      <c r="E3" s="1" t="str" cm="1">
        <f t="array" ref="E3">_xlfn.IFS(
D3&lt;20,"Light",
D3&lt;50,"Medium",
D3&lt;100,"Heavy",
D3&gt;=100,"Very Heavy")</f>
        <v>Very Heavy</v>
      </c>
      <c r="F3" s="2">
        <v>311</v>
      </c>
      <c r="G3" s="2" t="str" cm="1">
        <f t="array" ref="G3">_xlfn.IFS(
F3&lt;50,"Small",
F3&lt;100,"Medium",
F3&lt;150,"Large",
F3&gt;=150,"Very Large"
)</f>
        <v>Very Large</v>
      </c>
      <c r="H3" s="2" t="s">
        <v>10</v>
      </c>
      <c r="I3" s="2">
        <v>52.830508999999999</v>
      </c>
      <c r="J3" s="2">
        <v>23.826848999999999</v>
      </c>
      <c r="K3" s="2" t="str">
        <f t="shared" ref="K3:K66" si="1">IF(OR(I3="",J3=""),"Missing Location","Available")</f>
        <v>Available</v>
      </c>
      <c r="L3" s="2" t="s">
        <v>10</v>
      </c>
      <c r="M3" s="3">
        <v>45352</v>
      </c>
      <c r="N3" s="3" t="str">
        <f t="shared" ref="N3:N66" si="2">TEXT(M3,"mmmm")</f>
        <v>March</v>
      </c>
      <c r="O3" s="2" t="s">
        <v>6</v>
      </c>
      <c r="P3" t="str">
        <f t="shared" ref="P3:P66" si="3">IF(OR(B3="",C3="",D3="",E3="",J3=""),"Needs Review","OK")</f>
        <v>OK</v>
      </c>
    </row>
    <row r="4" spans="1:16" x14ac:dyDescent="0.3">
      <c r="A4" s="2">
        <f t="shared" si="0"/>
        <v>3</v>
      </c>
      <c r="B4" s="2" t="s">
        <v>27</v>
      </c>
      <c r="C4" s="2" t="s">
        <v>4</v>
      </c>
      <c r="D4" s="1">
        <v>581</v>
      </c>
      <c r="E4" s="1" t="str" cm="1">
        <f t="array" ref="E4">_xlfn.IFS(
D4&lt;20,"Light",
D4&lt;50,"Medium",
D4&lt;100,"Heavy",
D4&gt;=100,"Very Heavy")</f>
        <v>Very Heavy</v>
      </c>
      <c r="F4" s="2">
        <v>277</v>
      </c>
      <c r="G4" s="2" t="str" cm="1">
        <f t="array" ref="G4">_xlfn.IFS(
F4&lt;50,"Small",
F4&lt;100,"Medium",
F4&lt;150,"Large",
F4&gt;=150,"Very Large"
)</f>
        <v>Very Large</v>
      </c>
      <c r="H4" s="2" t="s">
        <v>33</v>
      </c>
      <c r="I4" s="2">
        <v>52.834108999999998</v>
      </c>
      <c r="J4" s="2">
        <v>23.807092999999998</v>
      </c>
      <c r="K4" s="2" t="str">
        <f t="shared" si="1"/>
        <v>Available</v>
      </c>
      <c r="L4" s="2" t="s">
        <v>10</v>
      </c>
      <c r="M4" s="3">
        <v>45352</v>
      </c>
      <c r="N4" s="3" t="str">
        <f t="shared" si="2"/>
        <v>March</v>
      </c>
      <c r="O4" s="2" t="s">
        <v>6</v>
      </c>
      <c r="P4" t="str">
        <f t="shared" si="3"/>
        <v>OK</v>
      </c>
    </row>
    <row r="5" spans="1:16" x14ac:dyDescent="0.3">
      <c r="A5" s="2">
        <f t="shared" si="0"/>
        <v>4</v>
      </c>
      <c r="B5" s="2" t="s">
        <v>27</v>
      </c>
      <c r="C5" s="2" t="s">
        <v>4</v>
      </c>
      <c r="D5" s="1">
        <v>900</v>
      </c>
      <c r="E5" s="1" t="str" cm="1">
        <f t="array" ref="E5">_xlfn.IFS(
D5&lt;20,"Light",
D5&lt;50,"Medium",
D5&lt;100,"Heavy",
D5&gt;=100,"Very Heavy")</f>
        <v>Very Heavy</v>
      </c>
      <c r="F5" s="2">
        <v>295</v>
      </c>
      <c r="G5" s="2" t="str" cm="1">
        <f t="array" ref="G5">_xlfn.IFS(
F5&lt;50,"Small",
F5&lt;100,"Medium",
F5&lt;150,"Large",
F5&gt;=150,"Very Large"
)</f>
        <v>Very Large</v>
      </c>
      <c r="H5" s="2" t="s">
        <v>32</v>
      </c>
      <c r="I5" s="2">
        <v>52.834758999999998</v>
      </c>
      <c r="J5" s="2">
        <v>23.817201000000001</v>
      </c>
      <c r="K5" s="2" t="str">
        <f t="shared" si="1"/>
        <v>Available</v>
      </c>
      <c r="L5" s="2" t="s">
        <v>10</v>
      </c>
      <c r="M5" s="3">
        <v>45352</v>
      </c>
      <c r="N5" s="3" t="str">
        <f t="shared" si="2"/>
        <v>March</v>
      </c>
      <c r="O5" s="2" t="s">
        <v>6</v>
      </c>
      <c r="P5" t="str">
        <f t="shared" si="3"/>
        <v>OK</v>
      </c>
    </row>
    <row r="6" spans="1:16" x14ac:dyDescent="0.3">
      <c r="A6" s="2">
        <f t="shared" si="0"/>
        <v>5</v>
      </c>
      <c r="B6" s="2" t="s">
        <v>27</v>
      </c>
      <c r="C6" s="2" t="s">
        <v>4</v>
      </c>
      <c r="D6" s="1">
        <v>620</v>
      </c>
      <c r="E6" s="1" t="str" cm="1">
        <f t="array" ref="E6">_xlfn.IFS(
D6&lt;20,"Light",
D6&lt;50,"Medium",
D6&lt;100,"Heavy",
D6&gt;=100,"Very Heavy")</f>
        <v>Very Heavy</v>
      </c>
      <c r="F6" s="2">
        <v>250</v>
      </c>
      <c r="G6" s="2" t="str" cm="1">
        <f t="array" ref="G6">_xlfn.IFS(
F6&lt;50,"Small",
F6&lt;100,"Medium",
F6&lt;150,"Large",
F6&gt;=150,"Very Large"
)</f>
        <v>Very Large</v>
      </c>
      <c r="H6" s="2" t="s">
        <v>33</v>
      </c>
      <c r="I6" s="2">
        <v>52.834960000000002</v>
      </c>
      <c r="J6" s="2">
        <v>23.82075</v>
      </c>
      <c r="K6" s="2" t="str">
        <f t="shared" si="1"/>
        <v>Available</v>
      </c>
      <c r="L6" s="2" t="s">
        <v>10</v>
      </c>
      <c r="M6" s="3">
        <v>45352</v>
      </c>
      <c r="N6" s="3" t="str">
        <f t="shared" si="2"/>
        <v>March</v>
      </c>
      <c r="O6" s="2" t="s">
        <v>6</v>
      </c>
      <c r="P6" t="str">
        <f t="shared" si="3"/>
        <v>OK</v>
      </c>
    </row>
    <row r="7" spans="1:16" x14ac:dyDescent="0.3">
      <c r="A7" s="2">
        <f t="shared" si="0"/>
        <v>6</v>
      </c>
      <c r="B7" s="2" t="s">
        <v>28</v>
      </c>
      <c r="C7" s="2" t="s">
        <v>7</v>
      </c>
      <c r="D7" s="1">
        <v>24</v>
      </c>
      <c r="E7" s="1" t="str" cm="1">
        <f t="array" ref="E7">_xlfn.IFS(
D7&lt;20,"Light",
D7&lt;50,"Medium",
D7&lt;100,"Heavy",
D7&gt;=100,"Very Heavy")</f>
        <v>Medium</v>
      </c>
      <c r="F7" s="2">
        <v>76</v>
      </c>
      <c r="G7" s="2" t="str" cm="1">
        <f t="array" ref="G7">_xlfn.IFS(
F7&lt;50,"Small",
F7&lt;100,"Medium",
F7&lt;150,"Large",
F7&gt;=150,"Very Large"
)</f>
        <v>Medium</v>
      </c>
      <c r="H7" s="2" t="s">
        <v>32</v>
      </c>
      <c r="I7" s="2">
        <v>48.505493999999999</v>
      </c>
      <c r="J7" s="2">
        <v>20.551966</v>
      </c>
      <c r="K7" s="2" t="str">
        <f t="shared" si="1"/>
        <v>Available</v>
      </c>
      <c r="L7" s="2" t="s">
        <v>10</v>
      </c>
      <c r="M7" s="3">
        <v>45352</v>
      </c>
      <c r="N7" s="3" t="str">
        <f t="shared" si="2"/>
        <v>March</v>
      </c>
      <c r="O7" s="2" t="s">
        <v>6</v>
      </c>
      <c r="P7" t="str">
        <f t="shared" si="3"/>
        <v>OK</v>
      </c>
    </row>
    <row r="8" spans="1:16" x14ac:dyDescent="0.3">
      <c r="A8" s="2">
        <f t="shared" si="0"/>
        <v>7</v>
      </c>
      <c r="B8" s="2" t="s">
        <v>28</v>
      </c>
      <c r="C8" s="2" t="s">
        <v>7</v>
      </c>
      <c r="D8" s="1">
        <v>23</v>
      </c>
      <c r="E8" s="1" t="str" cm="1">
        <f t="array" ref="E8">_xlfn.IFS(
D8&lt;20,"Light",
D8&lt;50,"Medium",
D8&lt;100,"Heavy",
D8&gt;=100,"Very Heavy")</f>
        <v>Medium</v>
      </c>
      <c r="F8" s="2">
        <v>82</v>
      </c>
      <c r="G8" s="2" t="str" cm="1">
        <f t="array" ref="G8">_xlfn.IFS(
F8&lt;50,"Small",
F8&lt;100,"Medium",
F8&lt;150,"Large",
F8&gt;=150,"Very Large"
)</f>
        <v>Medium</v>
      </c>
      <c r="H8" s="2" t="s">
        <v>33</v>
      </c>
      <c r="I8" s="2">
        <v>48.506529</v>
      </c>
      <c r="J8" s="2">
        <v>20.554548</v>
      </c>
      <c r="K8" s="2" t="str">
        <f t="shared" si="1"/>
        <v>Available</v>
      </c>
      <c r="L8" s="2" t="s">
        <v>10</v>
      </c>
      <c r="M8" s="3">
        <v>45352</v>
      </c>
      <c r="N8" s="3" t="str">
        <f t="shared" si="2"/>
        <v>March</v>
      </c>
      <c r="O8" s="2" t="s">
        <v>6</v>
      </c>
      <c r="P8" t="str">
        <f t="shared" si="3"/>
        <v>OK</v>
      </c>
    </row>
    <row r="9" spans="1:16" x14ac:dyDescent="0.3">
      <c r="A9" s="2">
        <f t="shared" si="0"/>
        <v>8</v>
      </c>
      <c r="B9" s="2" t="s">
        <v>29</v>
      </c>
      <c r="C9" s="2" t="s">
        <v>4</v>
      </c>
      <c r="D9" s="1">
        <v>0.308</v>
      </c>
      <c r="E9" s="1" t="str" cm="1">
        <f t="array" ref="E9">_xlfn.IFS(
D9&lt;20,"Light",
D9&lt;50,"Medium",
D9&lt;100,"Heavy",
D9&gt;=100,"Very Heavy")</f>
        <v>Light</v>
      </c>
      <c r="F9" s="2">
        <v>22</v>
      </c>
      <c r="G9" s="2" t="str" cm="1">
        <f t="array" ref="G9">_xlfn.IFS(
F9&lt;50,"Small",
F9&lt;100,"Medium",
F9&lt;150,"Large",
F9&gt;=150,"Very Large"
)</f>
        <v>Small</v>
      </c>
      <c r="H9" s="2" t="s">
        <v>33</v>
      </c>
      <c r="I9" s="2">
        <v>52.241273</v>
      </c>
      <c r="J9" s="2">
        <v>21.055745000000002</v>
      </c>
      <c r="K9" s="2" t="str">
        <f t="shared" si="1"/>
        <v>Available</v>
      </c>
      <c r="L9" s="2" t="s">
        <v>8</v>
      </c>
      <c r="M9" s="3">
        <v>45352</v>
      </c>
      <c r="N9" s="3" t="str">
        <f t="shared" si="2"/>
        <v>March</v>
      </c>
      <c r="O9" s="2" t="s">
        <v>6</v>
      </c>
      <c r="P9" t="str">
        <f t="shared" si="3"/>
        <v>OK</v>
      </c>
    </row>
    <row r="10" spans="1:16" x14ac:dyDescent="0.3">
      <c r="A10" s="2">
        <f t="shared" si="0"/>
        <v>9</v>
      </c>
      <c r="B10" s="2" t="s">
        <v>29</v>
      </c>
      <c r="C10" s="2" t="s">
        <v>4</v>
      </c>
      <c r="D10" s="1">
        <v>0.34799999999999998</v>
      </c>
      <c r="E10" s="1" t="str" cm="1">
        <f t="array" ref="E10">_xlfn.IFS(
D10&lt;20,"Light",
D10&lt;50,"Medium",
D10&lt;100,"Heavy",
D10&gt;=100,"Very Heavy")</f>
        <v>Light</v>
      </c>
      <c r="F10" s="2">
        <v>20</v>
      </c>
      <c r="G10" s="2" t="str" cm="1">
        <f t="array" ref="G10">_xlfn.IFS(
F10&lt;50,"Small",
F10&lt;100,"Medium",
F10&lt;150,"Large",
F10&gt;=150,"Very Large"
)</f>
        <v>Small</v>
      </c>
      <c r="H10" s="2" t="s">
        <v>33</v>
      </c>
      <c r="I10" s="2">
        <v>52.242060000000002</v>
      </c>
      <c r="J10" s="2">
        <v>21.057801999999999</v>
      </c>
      <c r="K10" s="2" t="str">
        <f t="shared" si="1"/>
        <v>Available</v>
      </c>
      <c r="L10" s="2" t="s">
        <v>10</v>
      </c>
      <c r="M10" s="3">
        <v>45352</v>
      </c>
      <c r="N10" s="3" t="str">
        <f t="shared" si="2"/>
        <v>March</v>
      </c>
      <c r="O10" s="2" t="s">
        <v>6</v>
      </c>
      <c r="P10" t="str">
        <f t="shared" si="3"/>
        <v>OK</v>
      </c>
    </row>
    <row r="11" spans="1:16" x14ac:dyDescent="0.3">
      <c r="A11" s="2">
        <f t="shared" si="0"/>
        <v>10</v>
      </c>
      <c r="B11" s="2" t="s">
        <v>29</v>
      </c>
      <c r="C11" s="2" t="s">
        <v>4</v>
      </c>
      <c r="D11" s="1">
        <v>0.316</v>
      </c>
      <c r="E11" s="1" t="str" cm="1">
        <f t="array" ref="E11">_xlfn.IFS(
D11&lt;20,"Light",
D11&lt;50,"Medium",
D11&lt;100,"Heavy",
D11&gt;=100,"Very Heavy")</f>
        <v>Light</v>
      </c>
      <c r="F11" s="2">
        <v>20</v>
      </c>
      <c r="G11" s="2" t="str" cm="1">
        <f t="array" ref="G11">_xlfn.IFS(
F11&lt;50,"Small",
F11&lt;100,"Medium",
F11&lt;150,"Large",
F11&gt;=150,"Very Large"
)</f>
        <v>Small</v>
      </c>
      <c r="H11" s="2" t="s">
        <v>32</v>
      </c>
      <c r="I11" s="2">
        <v>52.240034999999999</v>
      </c>
      <c r="J11" s="2">
        <v>21.056187999999999</v>
      </c>
      <c r="K11" s="2" t="str">
        <f t="shared" si="1"/>
        <v>Available</v>
      </c>
      <c r="L11" s="2" t="s">
        <v>9</v>
      </c>
      <c r="M11" s="3">
        <v>45352</v>
      </c>
      <c r="N11" s="3" t="str">
        <f t="shared" si="2"/>
        <v>March</v>
      </c>
      <c r="O11" s="2" t="s">
        <v>6</v>
      </c>
      <c r="P11" t="str">
        <f t="shared" si="3"/>
        <v>OK</v>
      </c>
    </row>
    <row r="12" spans="1:16" x14ac:dyDescent="0.3">
      <c r="A12" s="2">
        <f t="shared" si="0"/>
        <v>11</v>
      </c>
      <c r="B12" s="2" t="s">
        <v>29</v>
      </c>
      <c r="C12" s="2" t="s">
        <v>4</v>
      </c>
      <c r="D12" s="1">
        <v>0.34</v>
      </c>
      <c r="E12" s="1" t="str" cm="1">
        <f t="array" ref="E12">_xlfn.IFS(
D12&lt;20,"Light",
D12&lt;50,"Medium",
D12&lt;100,"Heavy",
D12&gt;=100,"Very Heavy")</f>
        <v>Light</v>
      </c>
      <c r="F12" s="2">
        <v>21</v>
      </c>
      <c r="G12" s="2" t="str" cm="1">
        <f t="array" ref="G12">_xlfn.IFS(
F12&lt;50,"Small",
F12&lt;100,"Medium",
F12&lt;150,"Large",
F12&gt;=150,"Very Large"
)</f>
        <v>Small</v>
      </c>
      <c r="H12" s="2" t="s">
        <v>10</v>
      </c>
      <c r="I12" s="2">
        <v>52.240284000000003</v>
      </c>
      <c r="J12" s="2">
        <v>21.051947999999999</v>
      </c>
      <c r="K12" s="2" t="str">
        <f t="shared" si="1"/>
        <v>Available</v>
      </c>
      <c r="L12" s="2" t="s">
        <v>10</v>
      </c>
      <c r="M12" s="3">
        <v>45352</v>
      </c>
      <c r="N12" s="3" t="str">
        <f t="shared" si="2"/>
        <v>March</v>
      </c>
      <c r="O12" s="2" t="s">
        <v>6</v>
      </c>
      <c r="P12" t="str">
        <f t="shared" si="3"/>
        <v>OK</v>
      </c>
    </row>
    <row r="13" spans="1:16" x14ac:dyDescent="0.3">
      <c r="A13" s="2">
        <f t="shared" si="0"/>
        <v>12</v>
      </c>
      <c r="B13" s="2" t="s">
        <v>29</v>
      </c>
      <c r="C13" s="2" t="s">
        <v>4</v>
      </c>
      <c r="D13" s="1">
        <v>0.33300000000000002</v>
      </c>
      <c r="E13" s="1" t="str" cm="1">
        <f t="array" ref="E13">_xlfn.IFS(
D13&lt;20,"Light",
D13&lt;50,"Medium",
D13&lt;100,"Heavy",
D13&gt;=100,"Very Heavy")</f>
        <v>Light</v>
      </c>
      <c r="F13" s="2">
        <v>21</v>
      </c>
      <c r="G13" s="2" t="str" cm="1">
        <f t="array" ref="G13">_xlfn.IFS(
F13&lt;50,"Small",
F13&lt;100,"Medium",
F13&lt;150,"Large",
F13&gt;=150,"Very Large"
)</f>
        <v>Small</v>
      </c>
      <c r="H13" s="2" t="s">
        <v>32</v>
      </c>
      <c r="K13" s="2" t="str">
        <f t="shared" si="1"/>
        <v>Missing Location</v>
      </c>
      <c r="L13" s="2" t="s">
        <v>10</v>
      </c>
      <c r="M13" s="3">
        <v>45352</v>
      </c>
      <c r="N13" s="3" t="str">
        <f t="shared" si="2"/>
        <v>March</v>
      </c>
      <c r="O13" s="2" t="s">
        <v>6</v>
      </c>
      <c r="P13" t="str">
        <f t="shared" si="3"/>
        <v>Needs Review</v>
      </c>
    </row>
    <row r="14" spans="1:16" x14ac:dyDescent="0.3">
      <c r="A14" s="2">
        <f t="shared" si="0"/>
        <v>13</v>
      </c>
      <c r="B14" s="2" t="s">
        <v>29</v>
      </c>
      <c r="C14" s="2" t="s">
        <v>4</v>
      </c>
      <c r="D14" s="1">
        <v>0.26500000000000001</v>
      </c>
      <c r="E14" s="1" t="str" cm="1">
        <f t="array" ref="E14">_xlfn.IFS(
D14&lt;20,"Light",
D14&lt;50,"Medium",
D14&lt;100,"Heavy",
D14&gt;=100,"Very Heavy")</f>
        <v>Light</v>
      </c>
      <c r="F14" s="2">
        <v>19</v>
      </c>
      <c r="G14" s="2" t="str" cm="1">
        <f t="array" ref="G14">_xlfn.IFS(
F14&lt;50,"Small",
F14&lt;100,"Medium",
F14&lt;150,"Large",
F14&gt;=150,"Very Large"
)</f>
        <v>Small</v>
      </c>
      <c r="H14" s="2" t="s">
        <v>33</v>
      </c>
      <c r="I14" s="2">
        <v>52.240560000000002</v>
      </c>
      <c r="J14" s="2">
        <v>21.055899</v>
      </c>
      <c r="K14" s="2" t="str">
        <f t="shared" si="1"/>
        <v>Available</v>
      </c>
      <c r="L14" s="2" t="s">
        <v>10</v>
      </c>
      <c r="M14" s="3">
        <v>45352</v>
      </c>
      <c r="N14" s="3" t="str">
        <f t="shared" si="2"/>
        <v>March</v>
      </c>
      <c r="O14" s="2" t="s">
        <v>6</v>
      </c>
      <c r="P14" t="str">
        <f t="shared" si="3"/>
        <v>OK</v>
      </c>
    </row>
    <row r="15" spans="1:16" x14ac:dyDescent="0.3">
      <c r="A15" s="2">
        <f t="shared" si="0"/>
        <v>14</v>
      </c>
      <c r="B15" s="2" t="s">
        <v>29</v>
      </c>
      <c r="C15" s="2" t="s">
        <v>4</v>
      </c>
      <c r="D15" s="1">
        <v>0.297366504854368</v>
      </c>
      <c r="E15" s="1" t="str" cm="1">
        <f t="array" ref="E15">_xlfn.IFS(
D15&lt;20,"Light",
D15&lt;50,"Medium",
D15&lt;100,"Heavy",
D15&gt;=100,"Very Heavy")</f>
        <v>Light</v>
      </c>
      <c r="F15" s="2">
        <v>20.418848167539199</v>
      </c>
      <c r="G15" s="2" t="str" cm="1">
        <f t="array" ref="G15">_xlfn.IFS(
F15&lt;50,"Small",
F15&lt;100,"Medium",
F15&lt;150,"Large",
F15&gt;=150,"Very Large"
)</f>
        <v>Small</v>
      </c>
      <c r="H15" s="2" t="s">
        <v>32</v>
      </c>
      <c r="I15" s="2">
        <v>52.241177</v>
      </c>
      <c r="J15" s="2">
        <v>21.052873000000002</v>
      </c>
      <c r="K15" s="2" t="str">
        <f t="shared" si="1"/>
        <v>Available</v>
      </c>
      <c r="L15" s="2" t="s">
        <v>10</v>
      </c>
      <c r="M15" s="3">
        <v>45352</v>
      </c>
      <c r="N15" s="3" t="str">
        <f t="shared" si="2"/>
        <v>March</v>
      </c>
      <c r="O15" s="2" t="s">
        <v>6</v>
      </c>
      <c r="P15" t="str">
        <f t="shared" si="3"/>
        <v>OK</v>
      </c>
    </row>
    <row r="16" spans="1:16" x14ac:dyDescent="0.3">
      <c r="A16" s="2">
        <f t="shared" si="0"/>
        <v>15</v>
      </c>
      <c r="B16" s="2" t="s">
        <v>29</v>
      </c>
      <c r="C16" s="2" t="s">
        <v>4</v>
      </c>
      <c r="D16" s="1">
        <v>0.26100000000000001</v>
      </c>
      <c r="E16" s="1" t="str" cm="1">
        <f t="array" ref="E16">_xlfn.IFS(
D16&lt;20,"Light",
D16&lt;50,"Medium",
D16&lt;100,"Heavy",
D16&gt;=100,"Very Heavy")</f>
        <v>Light</v>
      </c>
      <c r="F16" s="2">
        <v>22</v>
      </c>
      <c r="G16" s="2" t="str" cm="1">
        <f t="array" ref="G16">_xlfn.IFS(
F16&lt;50,"Small",
F16&lt;100,"Medium",
F16&lt;150,"Large",
F16&gt;=150,"Very Large"
)</f>
        <v>Small</v>
      </c>
      <c r="H16" s="2" t="s">
        <v>33</v>
      </c>
      <c r="I16" s="2">
        <v>52.240833000000002</v>
      </c>
      <c r="J16" s="2">
        <v>21.052092999999999</v>
      </c>
      <c r="K16" s="2" t="str">
        <f t="shared" si="1"/>
        <v>Available</v>
      </c>
      <c r="L16" s="2" t="s">
        <v>10</v>
      </c>
      <c r="M16" s="3">
        <v>45352</v>
      </c>
      <c r="N16" s="3" t="str">
        <f t="shared" si="2"/>
        <v>March</v>
      </c>
      <c r="O16" s="2" t="s">
        <v>6</v>
      </c>
      <c r="P16" t="str">
        <f t="shared" si="3"/>
        <v>OK</v>
      </c>
    </row>
    <row r="17" spans="1:16" x14ac:dyDescent="0.3">
      <c r="A17" s="2">
        <f t="shared" si="0"/>
        <v>16</v>
      </c>
      <c r="B17" s="2" t="s">
        <v>29</v>
      </c>
      <c r="C17" s="2" t="s">
        <v>4</v>
      </c>
      <c r="D17" s="1">
        <v>0.317</v>
      </c>
      <c r="E17" s="1" t="str" cm="1">
        <f t="array" ref="E17">_xlfn.IFS(
D17&lt;20,"Light",
D17&lt;50,"Medium",
D17&lt;100,"Heavy",
D17&gt;=100,"Very Heavy")</f>
        <v>Light</v>
      </c>
      <c r="F17" s="2">
        <v>23</v>
      </c>
      <c r="G17" s="2" t="str" cm="1">
        <f t="array" ref="G17">_xlfn.IFS(
F17&lt;50,"Small",
F17&lt;100,"Medium",
F17&lt;150,"Large",
F17&gt;=150,"Very Large"
)</f>
        <v>Small</v>
      </c>
      <c r="H17" s="2" t="s">
        <v>32</v>
      </c>
      <c r="I17" s="2">
        <v>52.241357999999998</v>
      </c>
      <c r="J17" s="2">
        <v>21.056352</v>
      </c>
      <c r="K17" s="2" t="str">
        <f t="shared" si="1"/>
        <v>Available</v>
      </c>
      <c r="L17" s="2" t="s">
        <v>10</v>
      </c>
      <c r="M17" s="3">
        <v>45352</v>
      </c>
      <c r="N17" s="3" t="str">
        <f t="shared" si="2"/>
        <v>March</v>
      </c>
      <c r="O17" s="2" t="s">
        <v>6</v>
      </c>
      <c r="P17" t="str">
        <f t="shared" si="3"/>
        <v>OK</v>
      </c>
    </row>
    <row r="18" spans="1:16" x14ac:dyDescent="0.3">
      <c r="A18" s="2">
        <f t="shared" si="0"/>
        <v>17</v>
      </c>
      <c r="B18" s="2" t="s">
        <v>29</v>
      </c>
      <c r="C18" s="2" t="s">
        <v>4</v>
      </c>
      <c r="D18" s="1">
        <v>0.32800000000000001</v>
      </c>
      <c r="E18" s="1" t="str" cm="1">
        <f t="array" ref="E18">_xlfn.IFS(
D18&lt;20,"Light",
D18&lt;50,"Medium",
D18&lt;100,"Heavy",
D18&gt;=100,"Very Heavy")</f>
        <v>Light</v>
      </c>
      <c r="F18" s="2">
        <v>21</v>
      </c>
      <c r="G18" s="2" t="str" cm="1">
        <f t="array" ref="G18">_xlfn.IFS(
F18&lt;50,"Small",
F18&lt;100,"Medium",
F18&lt;150,"Large",
F18&gt;=150,"Very Large"
)</f>
        <v>Small</v>
      </c>
      <c r="H18" s="2" t="s">
        <v>32</v>
      </c>
      <c r="I18" s="2">
        <v>52.241905000000003</v>
      </c>
      <c r="J18" s="2">
        <v>21.050726999999998</v>
      </c>
      <c r="K18" s="2" t="str">
        <f t="shared" si="1"/>
        <v>Available</v>
      </c>
      <c r="L18" s="2" t="s">
        <v>10</v>
      </c>
      <c r="M18" s="3">
        <v>45352</v>
      </c>
      <c r="N18" s="3" t="str">
        <f t="shared" si="2"/>
        <v>March</v>
      </c>
      <c r="O18" s="2" t="s">
        <v>6</v>
      </c>
      <c r="P18" t="str">
        <f t="shared" si="3"/>
        <v>OK</v>
      </c>
    </row>
    <row r="19" spans="1:16" x14ac:dyDescent="0.3">
      <c r="A19" s="2">
        <f t="shared" si="0"/>
        <v>18</v>
      </c>
      <c r="B19" s="2" t="s">
        <v>29</v>
      </c>
      <c r="C19" s="2" t="s">
        <v>7</v>
      </c>
      <c r="D19" s="1">
        <v>0.30499999999999999</v>
      </c>
      <c r="E19" s="1" t="str" cm="1">
        <f t="array" ref="E19">_xlfn.IFS(
D19&lt;20,"Light",
D19&lt;50,"Medium",
D19&lt;100,"Heavy",
D19&gt;=100,"Very Heavy")</f>
        <v>Light</v>
      </c>
      <c r="F19" s="2">
        <v>21</v>
      </c>
      <c r="G19" s="2" t="str" cm="1">
        <f t="array" ref="G19">_xlfn.IFS(
F19&lt;50,"Small",
F19&lt;100,"Medium",
F19&lt;150,"Large",
F19&gt;=150,"Very Large"
)</f>
        <v>Small</v>
      </c>
      <c r="H19" s="2" t="s">
        <v>32</v>
      </c>
      <c r="I19" s="2">
        <v>47.511400999999999</v>
      </c>
      <c r="J19" s="2">
        <v>18.949119</v>
      </c>
      <c r="K19" s="2" t="str">
        <f t="shared" si="1"/>
        <v>Available</v>
      </c>
      <c r="L19" s="2" t="s">
        <v>10</v>
      </c>
      <c r="M19" s="3">
        <v>45352</v>
      </c>
      <c r="N19" s="3" t="str">
        <f t="shared" si="2"/>
        <v>March</v>
      </c>
      <c r="O19" s="2" t="s">
        <v>6</v>
      </c>
      <c r="P19" t="str">
        <f t="shared" si="3"/>
        <v>OK</v>
      </c>
    </row>
    <row r="20" spans="1:16" x14ac:dyDescent="0.3">
      <c r="A20" s="2">
        <f t="shared" si="0"/>
        <v>19</v>
      </c>
      <c r="B20" s="2" t="s">
        <v>29</v>
      </c>
      <c r="C20" s="2" t="s">
        <v>4</v>
      </c>
      <c r="D20" s="1">
        <v>0.32800000000000001</v>
      </c>
      <c r="E20" s="1" t="str" cm="1">
        <f t="array" ref="E20">_xlfn.IFS(
D20&lt;20,"Light",
D20&lt;50,"Medium",
D20&lt;100,"Heavy",
D20&gt;=100,"Very Heavy")</f>
        <v>Light</v>
      </c>
      <c r="F20" s="2">
        <v>23</v>
      </c>
      <c r="G20" s="2" t="str" cm="1">
        <f t="array" ref="G20">_xlfn.IFS(
F20&lt;50,"Small",
F20&lt;100,"Medium",
F20&lt;150,"Large",
F20&gt;=150,"Very Large"
)</f>
        <v>Small</v>
      </c>
      <c r="H20" s="2" t="s">
        <v>32</v>
      </c>
      <c r="I20" s="2">
        <v>52.24192</v>
      </c>
      <c r="J20" s="2">
        <v>21.056346999999999</v>
      </c>
      <c r="K20" s="2" t="str">
        <f t="shared" si="1"/>
        <v>Available</v>
      </c>
      <c r="L20" s="2" t="s">
        <v>10</v>
      </c>
      <c r="M20" s="3">
        <v>45352</v>
      </c>
      <c r="N20" s="3" t="str">
        <f t="shared" si="2"/>
        <v>March</v>
      </c>
      <c r="O20" s="2" t="s">
        <v>6</v>
      </c>
      <c r="P20" t="str">
        <f t="shared" si="3"/>
        <v>OK</v>
      </c>
    </row>
    <row r="21" spans="1:16" x14ac:dyDescent="0.3">
      <c r="A21" s="2">
        <f t="shared" si="0"/>
        <v>20</v>
      </c>
      <c r="B21" s="2" t="s">
        <v>29</v>
      </c>
      <c r="C21" s="2" t="s">
        <v>11</v>
      </c>
      <c r="D21" s="1">
        <v>0.29399999999999998</v>
      </c>
      <c r="E21" s="1" t="str" cm="1">
        <f t="array" ref="E21">_xlfn.IFS(
D21&lt;20,"Light",
D21&lt;50,"Medium",
D21&lt;100,"Heavy",
D21&gt;=100,"Very Heavy")</f>
        <v>Light</v>
      </c>
      <c r="F21" s="2">
        <v>19</v>
      </c>
      <c r="G21" s="2" t="str" cm="1">
        <f t="array" ref="G21">_xlfn.IFS(
F21&lt;50,"Small",
F21&lt;100,"Medium",
F21&lt;150,"Large",
F21&gt;=150,"Very Large"
)</f>
        <v>Small</v>
      </c>
      <c r="H21" s="2" t="s">
        <v>32</v>
      </c>
      <c r="K21" s="2" t="str">
        <f t="shared" si="1"/>
        <v>Missing Location</v>
      </c>
      <c r="L21" s="2" t="s">
        <v>10</v>
      </c>
      <c r="M21" s="3">
        <v>45352</v>
      </c>
      <c r="N21" s="3" t="str">
        <f t="shared" si="2"/>
        <v>March</v>
      </c>
      <c r="O21" s="2" t="s">
        <v>12</v>
      </c>
      <c r="P21" t="str">
        <f t="shared" si="3"/>
        <v>Needs Review</v>
      </c>
    </row>
    <row r="22" spans="1:16" x14ac:dyDescent="0.3">
      <c r="A22" s="2">
        <f t="shared" si="0"/>
        <v>21</v>
      </c>
      <c r="B22" s="2" t="s">
        <v>29</v>
      </c>
      <c r="C22" s="2" t="s">
        <v>11</v>
      </c>
      <c r="D22" s="1">
        <v>0.25</v>
      </c>
      <c r="E22" s="1" t="str" cm="1">
        <f t="array" ref="E22">_xlfn.IFS(
D22&lt;20,"Light",
D22&lt;50,"Medium",
D22&lt;100,"Heavy",
D22&gt;=100,"Very Heavy")</f>
        <v>Light</v>
      </c>
      <c r="F22" s="2">
        <v>19</v>
      </c>
      <c r="G22" s="2" t="str" cm="1">
        <f t="array" ref="G22">_xlfn.IFS(
F22&lt;50,"Small",
F22&lt;100,"Medium",
F22&lt;150,"Large",
F22&gt;=150,"Very Large"
)</f>
        <v>Small</v>
      </c>
      <c r="H22" s="2" t="s">
        <v>33</v>
      </c>
      <c r="K22" s="2" t="str">
        <f t="shared" si="1"/>
        <v>Missing Location</v>
      </c>
      <c r="L22" s="2" t="s">
        <v>10</v>
      </c>
      <c r="M22" s="3">
        <v>45352</v>
      </c>
      <c r="N22" s="3" t="str">
        <f t="shared" si="2"/>
        <v>March</v>
      </c>
      <c r="O22" s="2" t="s">
        <v>12</v>
      </c>
      <c r="P22" t="str">
        <f t="shared" si="3"/>
        <v>Needs Review</v>
      </c>
    </row>
    <row r="23" spans="1:16" x14ac:dyDescent="0.3">
      <c r="A23" s="2">
        <f t="shared" si="0"/>
        <v>22</v>
      </c>
      <c r="B23" s="2" t="s">
        <v>29</v>
      </c>
      <c r="C23" s="2" t="s">
        <v>11</v>
      </c>
      <c r="D23" s="1">
        <v>0.26200000000000001</v>
      </c>
      <c r="E23" s="1" t="str" cm="1">
        <f t="array" ref="E23">_xlfn.IFS(
D23&lt;20,"Light",
D23&lt;50,"Medium",
D23&lt;100,"Heavy",
D23&gt;=100,"Very Heavy")</f>
        <v>Light</v>
      </c>
      <c r="F23" s="2">
        <v>21</v>
      </c>
      <c r="G23" s="2" t="str" cm="1">
        <f t="array" ref="G23">_xlfn.IFS(
F23&lt;50,"Small",
F23&lt;100,"Medium",
F23&lt;150,"Large",
F23&gt;=150,"Very Large"
)</f>
        <v>Small</v>
      </c>
      <c r="H23" s="2" t="s">
        <v>32</v>
      </c>
      <c r="K23" s="2" t="str">
        <f t="shared" si="1"/>
        <v>Missing Location</v>
      </c>
      <c r="L23" s="2" t="s">
        <v>10</v>
      </c>
      <c r="M23" s="3">
        <v>45352</v>
      </c>
      <c r="N23" s="3" t="str">
        <f t="shared" si="2"/>
        <v>March</v>
      </c>
      <c r="O23" s="2" t="s">
        <v>12</v>
      </c>
      <c r="P23" t="str">
        <f t="shared" si="3"/>
        <v>Needs Review</v>
      </c>
    </row>
    <row r="24" spans="1:16" x14ac:dyDescent="0.3">
      <c r="A24" s="2">
        <f t="shared" si="0"/>
        <v>23</v>
      </c>
      <c r="B24" s="2" t="s">
        <v>29</v>
      </c>
      <c r="C24" s="2" t="s">
        <v>11</v>
      </c>
      <c r="D24" s="1">
        <v>0.26700000000000002</v>
      </c>
      <c r="E24" s="1" t="str" cm="1">
        <f t="array" ref="E24">_xlfn.IFS(
D24&lt;20,"Light",
D24&lt;50,"Medium",
D24&lt;100,"Heavy",
D24&gt;=100,"Very Heavy")</f>
        <v>Light</v>
      </c>
      <c r="F24" s="2">
        <v>21</v>
      </c>
      <c r="G24" s="2" t="str" cm="1">
        <f t="array" ref="G24">_xlfn.IFS(
F24&lt;50,"Small",
F24&lt;100,"Medium",
F24&lt;150,"Large",
F24&gt;=150,"Very Large"
)</f>
        <v>Small</v>
      </c>
      <c r="H24" s="2" t="s">
        <v>33</v>
      </c>
      <c r="K24" s="2" t="str">
        <f t="shared" si="1"/>
        <v>Missing Location</v>
      </c>
      <c r="L24" s="2" t="s">
        <v>10</v>
      </c>
      <c r="M24" s="3">
        <v>45352</v>
      </c>
      <c r="N24" s="3" t="str">
        <f t="shared" si="2"/>
        <v>March</v>
      </c>
      <c r="O24" s="2" t="s">
        <v>12</v>
      </c>
      <c r="P24" t="str">
        <f t="shared" si="3"/>
        <v>Needs Review</v>
      </c>
    </row>
    <row r="25" spans="1:16" x14ac:dyDescent="0.3">
      <c r="A25" s="2">
        <f t="shared" si="0"/>
        <v>24</v>
      </c>
      <c r="B25" s="2" t="s">
        <v>29</v>
      </c>
      <c r="C25" s="2" t="s">
        <v>11</v>
      </c>
      <c r="D25" s="1">
        <v>0.26900000000000002</v>
      </c>
      <c r="E25" s="1" t="str" cm="1">
        <f t="array" ref="E25">_xlfn.IFS(
D25&lt;20,"Light",
D25&lt;50,"Medium",
D25&lt;100,"Heavy",
D25&gt;=100,"Very Heavy")</f>
        <v>Light</v>
      </c>
      <c r="F25" s="2">
        <v>22</v>
      </c>
      <c r="G25" s="2" t="str" cm="1">
        <f t="array" ref="G25">_xlfn.IFS(
F25&lt;50,"Small",
F25&lt;100,"Medium",
F25&lt;150,"Large",
F25&gt;=150,"Very Large"
)</f>
        <v>Small</v>
      </c>
      <c r="H25" s="2" t="s">
        <v>32</v>
      </c>
      <c r="K25" s="2" t="str">
        <f t="shared" si="1"/>
        <v>Missing Location</v>
      </c>
      <c r="L25" s="2" t="s">
        <v>10</v>
      </c>
      <c r="M25" s="3">
        <v>45352</v>
      </c>
      <c r="N25" s="3" t="str">
        <f t="shared" si="2"/>
        <v>March</v>
      </c>
      <c r="O25" s="2" t="s">
        <v>12</v>
      </c>
      <c r="P25" t="str">
        <f t="shared" si="3"/>
        <v>Needs Review</v>
      </c>
    </row>
    <row r="26" spans="1:16" x14ac:dyDescent="0.3">
      <c r="A26" s="2">
        <f t="shared" si="0"/>
        <v>25</v>
      </c>
      <c r="B26" s="2" t="s">
        <v>29</v>
      </c>
      <c r="C26" s="2" t="s">
        <v>11</v>
      </c>
      <c r="D26" s="1">
        <v>0.308</v>
      </c>
      <c r="E26" s="1" t="str" cm="1">
        <f t="array" ref="E26">_xlfn.IFS(
D26&lt;20,"Light",
D26&lt;50,"Medium",
D26&lt;100,"Heavy",
D26&gt;=100,"Very Heavy")</f>
        <v>Light</v>
      </c>
      <c r="F26" s="2">
        <v>22</v>
      </c>
      <c r="G26" s="2" t="str" cm="1">
        <f t="array" ref="G26">_xlfn.IFS(
F26&lt;50,"Small",
F26&lt;100,"Medium",
F26&lt;150,"Large",
F26&gt;=150,"Very Large"
)</f>
        <v>Small</v>
      </c>
      <c r="H26" s="2" t="s">
        <v>33</v>
      </c>
      <c r="K26" s="2" t="str">
        <f t="shared" si="1"/>
        <v>Missing Location</v>
      </c>
      <c r="L26" s="2" t="s">
        <v>10</v>
      </c>
      <c r="M26" s="3">
        <v>45352</v>
      </c>
      <c r="N26" s="3" t="str">
        <f t="shared" si="2"/>
        <v>March</v>
      </c>
      <c r="O26" s="2" t="s">
        <v>12</v>
      </c>
      <c r="P26" t="str">
        <f t="shared" si="3"/>
        <v>Needs Review</v>
      </c>
    </row>
    <row r="27" spans="1:16" x14ac:dyDescent="0.3">
      <c r="A27" s="2">
        <f t="shared" si="0"/>
        <v>26</v>
      </c>
      <c r="B27" s="2" t="s">
        <v>29</v>
      </c>
      <c r="C27" s="2" t="s">
        <v>11</v>
      </c>
      <c r="D27" s="1">
        <v>0.308</v>
      </c>
      <c r="E27" s="1" t="str" cm="1">
        <f t="array" ref="E27">_xlfn.IFS(
D27&lt;20,"Light",
D27&lt;50,"Medium",
D27&lt;100,"Heavy",
D27&gt;=100,"Very Heavy")</f>
        <v>Light</v>
      </c>
      <c r="F27" s="2">
        <v>19</v>
      </c>
      <c r="G27" s="2" t="str" cm="1">
        <f t="array" ref="G27">_xlfn.IFS(
F27&lt;50,"Small",
F27&lt;100,"Medium",
F27&lt;150,"Large",
F27&gt;=150,"Very Large"
)</f>
        <v>Small</v>
      </c>
      <c r="H27" s="2" t="s">
        <v>32</v>
      </c>
      <c r="K27" s="2" t="str">
        <f t="shared" si="1"/>
        <v>Missing Location</v>
      </c>
      <c r="L27" s="2" t="s">
        <v>10</v>
      </c>
      <c r="M27" s="3">
        <v>45352</v>
      </c>
      <c r="N27" s="3" t="str">
        <f t="shared" si="2"/>
        <v>March</v>
      </c>
      <c r="O27" s="2" t="s">
        <v>12</v>
      </c>
      <c r="P27" t="str">
        <f t="shared" si="3"/>
        <v>Needs Review</v>
      </c>
    </row>
    <row r="28" spans="1:16" x14ac:dyDescent="0.3">
      <c r="A28" s="2">
        <f t="shared" si="0"/>
        <v>27</v>
      </c>
      <c r="B28" s="2" t="s">
        <v>29</v>
      </c>
      <c r="C28" s="2" t="s">
        <v>11</v>
      </c>
      <c r="D28" s="1">
        <v>0.27</v>
      </c>
      <c r="E28" s="1" t="str" cm="1">
        <f t="array" ref="E28">_xlfn.IFS(
D28&lt;20,"Light",
D28&lt;50,"Medium",
D28&lt;100,"Heavy",
D28&gt;=100,"Very Heavy")</f>
        <v>Light</v>
      </c>
      <c r="F28" s="2">
        <v>20</v>
      </c>
      <c r="G28" s="2" t="str" cm="1">
        <f t="array" ref="G28">_xlfn.IFS(
F28&lt;50,"Small",
F28&lt;100,"Medium",
F28&lt;150,"Large",
F28&gt;=150,"Very Large"
)</f>
        <v>Small</v>
      </c>
      <c r="H28" s="2" t="s">
        <v>32</v>
      </c>
      <c r="K28" s="2" t="str">
        <f t="shared" si="1"/>
        <v>Missing Location</v>
      </c>
      <c r="L28" s="2" t="s">
        <v>10</v>
      </c>
      <c r="M28" s="3">
        <v>45352</v>
      </c>
      <c r="N28" s="3" t="str">
        <f t="shared" si="2"/>
        <v>March</v>
      </c>
      <c r="O28" s="2" t="s">
        <v>12</v>
      </c>
      <c r="P28" t="str">
        <f t="shared" si="3"/>
        <v>Needs Review</v>
      </c>
    </row>
    <row r="29" spans="1:16" x14ac:dyDescent="0.3">
      <c r="A29" s="2">
        <f t="shared" si="0"/>
        <v>28</v>
      </c>
      <c r="B29" s="2" t="s">
        <v>29</v>
      </c>
      <c r="C29" s="2" t="s">
        <v>11</v>
      </c>
      <c r="D29" s="1">
        <v>0.32</v>
      </c>
      <c r="E29" s="1" t="str" cm="1">
        <f t="array" ref="E29">_xlfn.IFS(
D29&lt;20,"Light",
D29&lt;50,"Medium",
D29&lt;100,"Heavy",
D29&gt;=100,"Very Heavy")</f>
        <v>Light</v>
      </c>
      <c r="F29" s="2">
        <v>20</v>
      </c>
      <c r="G29" s="2" t="str" cm="1">
        <f t="array" ref="G29">_xlfn.IFS(
F29&lt;50,"Small",
F29&lt;100,"Medium",
F29&lt;150,"Large",
F29&gt;=150,"Very Large"
)</f>
        <v>Small</v>
      </c>
      <c r="H29" s="2" t="s">
        <v>32</v>
      </c>
      <c r="K29" s="2" t="str">
        <f t="shared" si="1"/>
        <v>Missing Location</v>
      </c>
      <c r="L29" s="2" t="s">
        <v>10</v>
      </c>
      <c r="M29" s="3">
        <v>45352</v>
      </c>
      <c r="N29" s="3" t="str">
        <f t="shared" si="2"/>
        <v>March</v>
      </c>
      <c r="O29" s="2" t="s">
        <v>12</v>
      </c>
      <c r="P29" t="str">
        <f t="shared" si="3"/>
        <v>Needs Review</v>
      </c>
    </row>
    <row r="30" spans="1:16" x14ac:dyDescent="0.3">
      <c r="A30" s="2">
        <f t="shared" si="0"/>
        <v>29</v>
      </c>
      <c r="B30" s="2" t="s">
        <v>29</v>
      </c>
      <c r="C30" s="2" t="s">
        <v>11</v>
      </c>
      <c r="D30" s="1">
        <v>0.26200000000000001</v>
      </c>
      <c r="E30" s="1" t="str" cm="1">
        <f t="array" ref="E30">_xlfn.IFS(
D30&lt;20,"Light",
D30&lt;50,"Medium",
D30&lt;100,"Heavy",
D30&gt;=100,"Very Heavy")</f>
        <v>Light</v>
      </c>
      <c r="F30" s="2">
        <v>20</v>
      </c>
      <c r="G30" s="2" t="str" cm="1">
        <f t="array" ref="G30">_xlfn.IFS(
F30&lt;50,"Small",
F30&lt;100,"Medium",
F30&lt;150,"Large",
F30&gt;=150,"Very Large"
)</f>
        <v>Small</v>
      </c>
      <c r="H30" s="2" t="s">
        <v>32</v>
      </c>
      <c r="K30" s="2" t="str">
        <f t="shared" si="1"/>
        <v>Missing Location</v>
      </c>
      <c r="L30" s="2" t="s">
        <v>10</v>
      </c>
      <c r="M30" s="3">
        <v>45352</v>
      </c>
      <c r="N30" s="3" t="str">
        <f t="shared" si="2"/>
        <v>March</v>
      </c>
      <c r="O30" s="2" t="s">
        <v>12</v>
      </c>
      <c r="P30" t="str">
        <f t="shared" si="3"/>
        <v>Needs Review</v>
      </c>
    </row>
    <row r="31" spans="1:16" x14ac:dyDescent="0.3">
      <c r="A31" s="2">
        <f t="shared" si="0"/>
        <v>30</v>
      </c>
      <c r="B31" s="2" t="s">
        <v>29</v>
      </c>
      <c r="C31" s="2" t="s">
        <v>11</v>
      </c>
      <c r="D31" s="1">
        <v>0.25600000000000001</v>
      </c>
      <c r="E31" s="1" t="str" cm="1">
        <f t="array" ref="E31">_xlfn.IFS(
D31&lt;20,"Light",
D31&lt;50,"Medium",
D31&lt;100,"Heavy",
D31&gt;=100,"Very Heavy")</f>
        <v>Light</v>
      </c>
      <c r="F31" s="2">
        <v>21</v>
      </c>
      <c r="G31" s="2" t="str" cm="1">
        <f t="array" ref="G31">_xlfn.IFS(
F31&lt;50,"Small",
F31&lt;100,"Medium",
F31&lt;150,"Large",
F31&gt;=150,"Very Large"
)</f>
        <v>Small</v>
      </c>
      <c r="H31" s="2" t="s">
        <v>32</v>
      </c>
      <c r="K31" s="2" t="str">
        <f t="shared" si="1"/>
        <v>Missing Location</v>
      </c>
      <c r="L31" s="2" t="s">
        <v>10</v>
      </c>
      <c r="M31" s="3">
        <v>45352</v>
      </c>
      <c r="N31" s="3" t="str">
        <f t="shared" si="2"/>
        <v>March</v>
      </c>
      <c r="O31" s="2" t="s">
        <v>12</v>
      </c>
      <c r="P31" t="str">
        <f t="shared" si="3"/>
        <v>Needs Review</v>
      </c>
    </row>
    <row r="32" spans="1:16" x14ac:dyDescent="0.3">
      <c r="A32" s="2">
        <f t="shared" si="0"/>
        <v>31</v>
      </c>
      <c r="B32" s="2" t="s">
        <v>29</v>
      </c>
      <c r="C32" s="2" t="s">
        <v>11</v>
      </c>
      <c r="D32" s="1">
        <v>0.245</v>
      </c>
      <c r="E32" s="1" t="str" cm="1">
        <f t="array" ref="E32">_xlfn.IFS(
D32&lt;20,"Light",
D32&lt;50,"Medium",
D32&lt;100,"Heavy",
D32&gt;=100,"Very Heavy")</f>
        <v>Light</v>
      </c>
      <c r="F32" s="2">
        <v>22</v>
      </c>
      <c r="G32" s="2" t="str" cm="1">
        <f t="array" ref="G32">_xlfn.IFS(
F32&lt;50,"Small",
F32&lt;100,"Medium",
F32&lt;150,"Large",
F32&gt;=150,"Very Large"
)</f>
        <v>Small</v>
      </c>
      <c r="H32" s="2" t="s">
        <v>32</v>
      </c>
      <c r="K32" s="2" t="str">
        <f t="shared" si="1"/>
        <v>Missing Location</v>
      </c>
      <c r="L32" s="2" t="s">
        <v>10</v>
      </c>
      <c r="M32" s="3">
        <v>45352</v>
      </c>
      <c r="N32" s="3" t="str">
        <f t="shared" si="2"/>
        <v>March</v>
      </c>
      <c r="O32" s="2" t="s">
        <v>12</v>
      </c>
      <c r="P32" t="str">
        <f t="shared" si="3"/>
        <v>Needs Review</v>
      </c>
    </row>
    <row r="33" spans="1:16" x14ac:dyDescent="0.3">
      <c r="A33" s="2">
        <f t="shared" si="0"/>
        <v>32</v>
      </c>
      <c r="B33" s="2" t="s">
        <v>29</v>
      </c>
      <c r="C33" s="2" t="s">
        <v>11</v>
      </c>
      <c r="D33" s="1">
        <v>0.29199999999999998</v>
      </c>
      <c r="E33" s="1" t="str" cm="1">
        <f t="array" ref="E33">_xlfn.IFS(
D33&lt;20,"Light",
D33&lt;50,"Medium",
D33&lt;100,"Heavy",
D33&gt;=100,"Very Heavy")</f>
        <v>Light</v>
      </c>
      <c r="F33" s="2">
        <v>19</v>
      </c>
      <c r="G33" s="2" t="str" cm="1">
        <f t="array" ref="G33">_xlfn.IFS(
F33&lt;50,"Small",
F33&lt;100,"Medium",
F33&lt;150,"Large",
F33&gt;=150,"Very Large"
)</f>
        <v>Small</v>
      </c>
      <c r="H33" s="2" t="s">
        <v>32</v>
      </c>
      <c r="K33" s="2" t="str">
        <f t="shared" si="1"/>
        <v>Missing Location</v>
      </c>
      <c r="L33" s="2" t="s">
        <v>10</v>
      </c>
      <c r="M33" s="3">
        <v>45352</v>
      </c>
      <c r="N33" s="3" t="str">
        <f t="shared" si="2"/>
        <v>March</v>
      </c>
      <c r="O33" s="2" t="s">
        <v>12</v>
      </c>
      <c r="P33" t="str">
        <f t="shared" si="3"/>
        <v>Needs Review</v>
      </c>
    </row>
    <row r="34" spans="1:16" x14ac:dyDescent="0.3">
      <c r="A34" s="2">
        <f t="shared" si="0"/>
        <v>33</v>
      </c>
      <c r="B34" s="2" t="s">
        <v>29</v>
      </c>
      <c r="C34" s="2" t="s">
        <v>11</v>
      </c>
      <c r="D34" s="1">
        <v>0.28899999999999998</v>
      </c>
      <c r="E34" s="1" t="str" cm="1">
        <f t="array" ref="E34">_xlfn.IFS(
D34&lt;20,"Light",
D34&lt;50,"Medium",
D34&lt;100,"Heavy",
D34&gt;=100,"Very Heavy")</f>
        <v>Light</v>
      </c>
      <c r="F34" s="2">
        <v>19</v>
      </c>
      <c r="G34" s="2" t="str" cm="1">
        <f t="array" ref="G34">_xlfn.IFS(
F34&lt;50,"Small",
F34&lt;100,"Medium",
F34&lt;150,"Large",
F34&gt;=150,"Very Large"
)</f>
        <v>Small</v>
      </c>
      <c r="H34" s="2" t="s">
        <v>33</v>
      </c>
      <c r="K34" s="2" t="str">
        <f t="shared" si="1"/>
        <v>Missing Location</v>
      </c>
      <c r="L34" s="2" t="s">
        <v>10</v>
      </c>
      <c r="M34" s="3">
        <v>45352</v>
      </c>
      <c r="N34" s="3" t="str">
        <f t="shared" si="2"/>
        <v>March</v>
      </c>
      <c r="O34" s="2" t="s">
        <v>12</v>
      </c>
      <c r="P34" t="str">
        <f t="shared" si="3"/>
        <v>Needs Review</v>
      </c>
    </row>
    <row r="35" spans="1:16" x14ac:dyDescent="0.3">
      <c r="A35" s="2">
        <f t="shared" si="0"/>
        <v>34</v>
      </c>
      <c r="B35" s="2" t="s">
        <v>29</v>
      </c>
      <c r="C35" s="2" t="s">
        <v>11</v>
      </c>
      <c r="D35" s="1">
        <v>0.308</v>
      </c>
      <c r="E35" s="1" t="str" cm="1">
        <f t="array" ref="E35">_xlfn.IFS(
D35&lt;20,"Light",
D35&lt;50,"Medium",
D35&lt;100,"Heavy",
D35&gt;=100,"Very Heavy")</f>
        <v>Light</v>
      </c>
      <c r="F35" s="2">
        <v>22</v>
      </c>
      <c r="G35" s="2" t="str" cm="1">
        <f t="array" ref="G35">_xlfn.IFS(
F35&lt;50,"Small",
F35&lt;100,"Medium",
F35&lt;150,"Large",
F35&gt;=150,"Very Large"
)</f>
        <v>Small</v>
      </c>
      <c r="H35" s="2" t="s">
        <v>32</v>
      </c>
      <c r="K35" s="2" t="str">
        <f t="shared" si="1"/>
        <v>Missing Location</v>
      </c>
      <c r="L35" s="2" t="s">
        <v>10</v>
      </c>
      <c r="M35" s="3">
        <v>45352</v>
      </c>
      <c r="N35" s="3" t="str">
        <f t="shared" si="2"/>
        <v>March</v>
      </c>
      <c r="O35" s="2" t="s">
        <v>12</v>
      </c>
      <c r="P35" t="str">
        <f t="shared" si="3"/>
        <v>Needs Review</v>
      </c>
    </row>
    <row r="36" spans="1:16" x14ac:dyDescent="0.3">
      <c r="A36" s="2">
        <f t="shared" si="0"/>
        <v>35</v>
      </c>
      <c r="B36" s="2" t="s">
        <v>27</v>
      </c>
      <c r="C36" s="2" t="s">
        <v>13</v>
      </c>
      <c r="D36" s="1">
        <v>420</v>
      </c>
      <c r="E36" s="1" t="str" cm="1">
        <f t="array" ref="E36">_xlfn.IFS(
D36&lt;20,"Light",
D36&lt;50,"Medium",
D36&lt;100,"Heavy",
D36&gt;=100,"Very Heavy")</f>
        <v>Very Heavy</v>
      </c>
      <c r="F36" s="2">
        <v>182</v>
      </c>
      <c r="G36" s="2" t="str" cm="1">
        <f t="array" ref="G36">_xlfn.IFS(
F36&lt;50,"Small",
F36&lt;100,"Medium",
F36&lt;150,"Large",
F36&gt;=150,"Very Large"
)</f>
        <v>Very Large</v>
      </c>
      <c r="H36" s="2" t="s">
        <v>32</v>
      </c>
      <c r="I36" s="2">
        <v>49.054684000000002</v>
      </c>
      <c r="J36" s="2">
        <v>22.417189</v>
      </c>
      <c r="K36" s="2" t="str">
        <f t="shared" si="1"/>
        <v>Available</v>
      </c>
      <c r="L36" s="2" t="s">
        <v>10</v>
      </c>
      <c r="M36" s="3">
        <v>45352</v>
      </c>
      <c r="N36" s="3" t="str">
        <f t="shared" si="2"/>
        <v>March</v>
      </c>
      <c r="O36" s="2" t="s">
        <v>14</v>
      </c>
      <c r="P36" t="str">
        <f t="shared" si="3"/>
        <v>OK</v>
      </c>
    </row>
    <row r="37" spans="1:16" x14ac:dyDescent="0.3">
      <c r="A37" s="2">
        <f t="shared" si="0"/>
        <v>36</v>
      </c>
      <c r="B37" s="2" t="s">
        <v>27</v>
      </c>
      <c r="C37" s="2" t="s">
        <v>13</v>
      </c>
      <c r="D37" s="1">
        <v>511</v>
      </c>
      <c r="E37" s="1" t="str" cm="1">
        <f t="array" ref="E37">_xlfn.IFS(
D37&lt;20,"Light",
D37&lt;50,"Medium",
D37&lt;100,"Heavy",
D37&gt;=100,"Very Heavy")</f>
        <v>Very Heavy</v>
      </c>
      <c r="F37" s="2">
        <v>266</v>
      </c>
      <c r="G37" s="2" t="str" cm="1">
        <f t="array" ref="G37">_xlfn.IFS(
F37&lt;50,"Small",
F37&lt;100,"Medium",
F37&lt;150,"Large",
F37&gt;=150,"Very Large"
)</f>
        <v>Very Large</v>
      </c>
      <c r="H37" s="2" t="s">
        <v>33</v>
      </c>
      <c r="I37" s="2">
        <v>49.053629000000001</v>
      </c>
      <c r="J37" s="2">
        <v>22.421831000000001</v>
      </c>
      <c r="K37" s="2" t="str">
        <f t="shared" si="1"/>
        <v>Available</v>
      </c>
      <c r="L37" s="2" t="s">
        <v>10</v>
      </c>
      <c r="M37" s="3">
        <v>45352</v>
      </c>
      <c r="N37" s="3" t="str">
        <f t="shared" si="2"/>
        <v>March</v>
      </c>
      <c r="O37" s="2" t="s">
        <v>14</v>
      </c>
      <c r="P37" t="str">
        <f t="shared" si="3"/>
        <v>OK</v>
      </c>
    </row>
    <row r="38" spans="1:16" x14ac:dyDescent="0.3">
      <c r="A38" s="2">
        <f t="shared" si="0"/>
        <v>37</v>
      </c>
      <c r="B38" s="2" t="s">
        <v>27</v>
      </c>
      <c r="C38" s="2" t="s">
        <v>13</v>
      </c>
      <c r="D38" s="1">
        <v>814</v>
      </c>
      <c r="E38" s="1" t="str" cm="1">
        <f t="array" ref="E38">_xlfn.IFS(
D38&lt;20,"Light",
D38&lt;50,"Medium",
D38&lt;100,"Heavy",
D38&gt;=100,"Very Heavy")</f>
        <v>Very Heavy</v>
      </c>
      <c r="F38" s="2">
        <v>288</v>
      </c>
      <c r="G38" s="2" t="str" cm="1">
        <f t="array" ref="G38">_xlfn.IFS(
F38&lt;50,"Small",
F38&lt;100,"Medium",
F38&lt;150,"Large",
F38&gt;=150,"Very Large"
)</f>
        <v>Very Large</v>
      </c>
      <c r="H38" s="2" t="s">
        <v>32</v>
      </c>
      <c r="I38" s="2">
        <v>49.053488999999999</v>
      </c>
      <c r="J38" s="2">
        <v>22.415229</v>
      </c>
      <c r="K38" s="2" t="str">
        <f t="shared" si="1"/>
        <v>Available</v>
      </c>
      <c r="L38" s="2" t="s">
        <v>10</v>
      </c>
      <c r="M38" s="3">
        <v>45352</v>
      </c>
      <c r="N38" s="3" t="str">
        <f t="shared" si="2"/>
        <v>March</v>
      </c>
      <c r="O38" s="2" t="s">
        <v>14</v>
      </c>
      <c r="P38" t="str">
        <f t="shared" si="3"/>
        <v>OK</v>
      </c>
    </row>
    <row r="39" spans="1:16" x14ac:dyDescent="0.3">
      <c r="A39" s="2">
        <f t="shared" si="0"/>
        <v>38</v>
      </c>
      <c r="B39" s="2" t="s">
        <v>27</v>
      </c>
      <c r="C39" s="2" t="s">
        <v>13</v>
      </c>
      <c r="D39" s="1">
        <v>130</v>
      </c>
      <c r="E39" s="1" t="str" cm="1">
        <f t="array" ref="E39">_xlfn.IFS(
D39&lt;20,"Light",
D39&lt;50,"Medium",
D39&lt;100,"Heavy",
D39&gt;=100,"Very Heavy")</f>
        <v>Very Heavy</v>
      </c>
      <c r="F39" s="2">
        <v>141</v>
      </c>
      <c r="G39" s="2" t="str" cm="1">
        <f t="array" ref="G39">_xlfn.IFS(
F39&lt;50,"Small",
F39&lt;100,"Medium",
F39&lt;150,"Large",
F39&gt;=150,"Very Large"
)</f>
        <v>Large</v>
      </c>
      <c r="H39" s="2" t="s">
        <v>33</v>
      </c>
      <c r="I39" s="2">
        <v>49.054166000000002</v>
      </c>
      <c r="J39" s="2">
        <v>22.422851999999999</v>
      </c>
      <c r="K39" s="2" t="str">
        <f t="shared" si="1"/>
        <v>Available</v>
      </c>
      <c r="L39" s="2" t="s">
        <v>10</v>
      </c>
      <c r="M39" s="3">
        <v>45352</v>
      </c>
      <c r="N39" s="3" t="str">
        <f t="shared" si="2"/>
        <v>March</v>
      </c>
      <c r="O39" s="2" t="s">
        <v>14</v>
      </c>
      <c r="P39" t="str">
        <f t="shared" si="3"/>
        <v>OK</v>
      </c>
    </row>
    <row r="40" spans="1:16" x14ac:dyDescent="0.3">
      <c r="A40" s="2">
        <f t="shared" si="0"/>
        <v>39</v>
      </c>
      <c r="B40" s="2" t="s">
        <v>27</v>
      </c>
      <c r="C40" s="2" t="s">
        <v>13</v>
      </c>
      <c r="D40" s="1">
        <v>390</v>
      </c>
      <c r="E40" s="1" t="str" cm="1">
        <f t="array" ref="E40">_xlfn.IFS(
D40&lt;20,"Light",
D40&lt;50,"Medium",
D40&lt;100,"Heavy",
D40&gt;=100,"Very Heavy")</f>
        <v>Very Heavy</v>
      </c>
      <c r="F40" s="2">
        <v>180</v>
      </c>
      <c r="G40" s="2" t="str" cm="1">
        <f t="array" ref="G40">_xlfn.IFS(
F40&lt;50,"Small",
F40&lt;100,"Medium",
F40&lt;150,"Large",
F40&gt;=150,"Very Large"
)</f>
        <v>Very Large</v>
      </c>
      <c r="H40" s="2" t="s">
        <v>33</v>
      </c>
      <c r="I40" s="2">
        <v>49.052731000000001</v>
      </c>
      <c r="J40" s="2">
        <v>22.422675000000002</v>
      </c>
      <c r="K40" s="2" t="str">
        <f t="shared" si="1"/>
        <v>Available</v>
      </c>
      <c r="L40" s="2" t="s">
        <v>10</v>
      </c>
      <c r="M40" s="3">
        <v>45352</v>
      </c>
      <c r="N40" s="3" t="str">
        <f t="shared" si="2"/>
        <v>March</v>
      </c>
      <c r="O40" s="2" t="s">
        <v>14</v>
      </c>
      <c r="P40" t="str">
        <f t="shared" si="3"/>
        <v>OK</v>
      </c>
    </row>
    <row r="41" spans="1:16" x14ac:dyDescent="0.3">
      <c r="A41" s="2">
        <f t="shared" si="0"/>
        <v>40</v>
      </c>
      <c r="B41" s="2" t="s">
        <v>27</v>
      </c>
      <c r="C41" s="2" t="s">
        <v>13</v>
      </c>
      <c r="D41" s="1">
        <v>355</v>
      </c>
      <c r="E41" s="1" t="str" cm="1">
        <f t="array" ref="E41">_xlfn.IFS(
D41&lt;20,"Light",
D41&lt;50,"Medium",
D41&lt;100,"Heavy",
D41&gt;=100,"Very Heavy")</f>
        <v>Very Heavy</v>
      </c>
      <c r="F41" s="2">
        <v>179</v>
      </c>
      <c r="G41" s="2" t="str" cm="1">
        <f t="array" ref="G41">_xlfn.IFS(
F41&lt;50,"Small",
F41&lt;100,"Medium",
F41&lt;150,"Large",
F41&gt;=150,"Very Large"
)</f>
        <v>Very Large</v>
      </c>
      <c r="H41" s="2" t="s">
        <v>32</v>
      </c>
      <c r="I41" s="2">
        <v>49.055973999999999</v>
      </c>
      <c r="J41" s="2">
        <v>22.415984999999999</v>
      </c>
      <c r="K41" s="2" t="str">
        <f t="shared" si="1"/>
        <v>Available</v>
      </c>
      <c r="L41" s="2" t="s">
        <v>10</v>
      </c>
      <c r="M41" s="3">
        <v>45352</v>
      </c>
      <c r="N41" s="3" t="str">
        <f t="shared" si="2"/>
        <v>March</v>
      </c>
      <c r="O41" s="2" t="s">
        <v>14</v>
      </c>
      <c r="P41" t="str">
        <f t="shared" si="3"/>
        <v>OK</v>
      </c>
    </row>
    <row r="42" spans="1:16" x14ac:dyDescent="0.3">
      <c r="A42" s="2">
        <f t="shared" si="0"/>
        <v>41</v>
      </c>
      <c r="B42" s="2" t="s">
        <v>27</v>
      </c>
      <c r="C42" s="2" t="s">
        <v>13</v>
      </c>
      <c r="D42" s="1">
        <v>566</v>
      </c>
      <c r="E42" s="1" t="str" cm="1">
        <f t="array" ref="E42">_xlfn.IFS(
D42&lt;20,"Light",
D42&lt;50,"Medium",
D42&lt;100,"Heavy",
D42&gt;=100,"Very Heavy")</f>
        <v>Very Heavy</v>
      </c>
      <c r="F42" s="2">
        <v>272</v>
      </c>
      <c r="G42" s="2" t="str" cm="1">
        <f t="array" ref="G42">_xlfn.IFS(
F42&lt;50,"Small",
F42&lt;100,"Medium",
F42&lt;150,"Large",
F42&gt;=150,"Very Large"
)</f>
        <v>Very Large</v>
      </c>
      <c r="H42" s="2" t="s">
        <v>33</v>
      </c>
      <c r="I42" s="2">
        <v>49.053342000000001</v>
      </c>
      <c r="J42" s="2">
        <v>22.423867000000001</v>
      </c>
      <c r="K42" s="2" t="str">
        <f t="shared" si="1"/>
        <v>Available</v>
      </c>
      <c r="L42" s="2" t="s">
        <v>10</v>
      </c>
      <c r="M42" s="3">
        <v>45352</v>
      </c>
      <c r="N42" s="3" t="str">
        <f t="shared" si="2"/>
        <v>March</v>
      </c>
      <c r="O42" s="2" t="s">
        <v>14</v>
      </c>
      <c r="P42" t="str">
        <f t="shared" si="3"/>
        <v>OK</v>
      </c>
    </row>
    <row r="43" spans="1:16" x14ac:dyDescent="0.3">
      <c r="A43" s="2">
        <f t="shared" si="0"/>
        <v>42</v>
      </c>
      <c r="B43" s="2" t="s">
        <v>27</v>
      </c>
      <c r="C43" s="2" t="s">
        <v>13</v>
      </c>
      <c r="D43" s="1">
        <v>393</v>
      </c>
      <c r="E43" s="1" t="str" cm="1">
        <f t="array" ref="E43">_xlfn.IFS(
D43&lt;20,"Light",
D43&lt;50,"Medium",
D43&lt;100,"Heavy",
D43&gt;=100,"Very Heavy")</f>
        <v>Very Heavy</v>
      </c>
      <c r="F43" s="2">
        <v>152</v>
      </c>
      <c r="G43" s="2" t="str" cm="1">
        <f t="array" ref="G43">_xlfn.IFS(
F43&lt;50,"Small",
F43&lt;100,"Medium",
F43&lt;150,"Large",
F43&gt;=150,"Very Large"
)</f>
        <v>Very Large</v>
      </c>
      <c r="H43" s="2" t="s">
        <v>10</v>
      </c>
      <c r="I43" s="2">
        <v>49.056471000000002</v>
      </c>
      <c r="J43" s="2">
        <v>22.422474999999999</v>
      </c>
      <c r="K43" s="2" t="str">
        <f t="shared" si="1"/>
        <v>Available</v>
      </c>
      <c r="L43" s="2" t="s">
        <v>10</v>
      </c>
      <c r="M43" s="3">
        <v>45352</v>
      </c>
      <c r="N43" s="3" t="str">
        <f t="shared" si="2"/>
        <v>March</v>
      </c>
      <c r="O43" s="2" t="s">
        <v>14</v>
      </c>
      <c r="P43" t="str">
        <f t="shared" si="3"/>
        <v>OK</v>
      </c>
    </row>
    <row r="44" spans="1:16" x14ac:dyDescent="0.3">
      <c r="A44" s="2">
        <f t="shared" si="0"/>
        <v>43</v>
      </c>
      <c r="B44" s="2" t="s">
        <v>27</v>
      </c>
      <c r="C44" s="2" t="s">
        <v>15</v>
      </c>
      <c r="D44" s="1">
        <v>823</v>
      </c>
      <c r="E44" s="1" t="str" cm="1">
        <f t="array" ref="E44">_xlfn.IFS(
D44&lt;20,"Light",
D44&lt;50,"Medium",
D44&lt;100,"Heavy",
D44&gt;=100,"Very Heavy")</f>
        <v>Very Heavy</v>
      </c>
      <c r="F44" s="2">
        <v>286</v>
      </c>
      <c r="G44" s="2" t="str" cm="1">
        <f t="array" ref="G44">_xlfn.IFS(
F44&lt;50,"Small",
F44&lt;100,"Medium",
F44&lt;150,"Large",
F44&gt;=150,"Very Large"
)</f>
        <v>Very Large</v>
      </c>
      <c r="H44" s="2" t="s">
        <v>32</v>
      </c>
      <c r="I44" s="2">
        <v>50.636564</v>
      </c>
      <c r="J44" s="2">
        <v>14.834553</v>
      </c>
      <c r="K44" s="2" t="str">
        <f t="shared" si="1"/>
        <v>Available</v>
      </c>
      <c r="L44" s="2" t="s">
        <v>10</v>
      </c>
      <c r="M44" s="3">
        <v>45352</v>
      </c>
      <c r="N44" s="3" t="str">
        <f t="shared" si="2"/>
        <v>March</v>
      </c>
      <c r="O44" s="2" t="s">
        <v>14</v>
      </c>
      <c r="P44" t="str">
        <f t="shared" si="3"/>
        <v>OK</v>
      </c>
    </row>
    <row r="45" spans="1:16" x14ac:dyDescent="0.3">
      <c r="A45" s="2">
        <f t="shared" si="0"/>
        <v>44</v>
      </c>
      <c r="B45" s="2" t="s">
        <v>27</v>
      </c>
      <c r="C45" s="2" t="s">
        <v>13</v>
      </c>
      <c r="D45" s="1">
        <v>695</v>
      </c>
      <c r="E45" s="1" t="str" cm="1">
        <f t="array" ref="E45">_xlfn.IFS(
D45&lt;20,"Light",
D45&lt;50,"Medium",
D45&lt;100,"Heavy",
D45&gt;=100,"Very Heavy")</f>
        <v>Very Heavy</v>
      </c>
      <c r="F45" s="2">
        <v>316</v>
      </c>
      <c r="G45" s="2" t="str" cm="1">
        <f t="array" ref="G45">_xlfn.IFS(
F45&lt;50,"Small",
F45&lt;100,"Medium",
F45&lt;150,"Large",
F45&gt;=150,"Very Large"
)</f>
        <v>Very Large</v>
      </c>
      <c r="H45" s="2" t="s">
        <v>32</v>
      </c>
      <c r="I45" s="2">
        <v>49.055537000000001</v>
      </c>
      <c r="J45" s="2">
        <v>22.419428</v>
      </c>
      <c r="K45" s="2" t="str">
        <f t="shared" si="1"/>
        <v>Available</v>
      </c>
      <c r="L45" s="2" t="s">
        <v>10</v>
      </c>
      <c r="M45" s="3">
        <v>45352</v>
      </c>
      <c r="N45" s="3" t="str">
        <f t="shared" si="2"/>
        <v>March</v>
      </c>
      <c r="O45" s="2" t="s">
        <v>14</v>
      </c>
      <c r="P45" t="str">
        <f t="shared" si="3"/>
        <v>OK</v>
      </c>
    </row>
    <row r="46" spans="1:16" x14ac:dyDescent="0.3">
      <c r="A46" s="2">
        <f t="shared" si="0"/>
        <v>45</v>
      </c>
      <c r="B46" s="2" t="s">
        <v>30</v>
      </c>
      <c r="C46" s="2" t="s">
        <v>15</v>
      </c>
      <c r="D46" s="1">
        <v>0.6</v>
      </c>
      <c r="E46" s="1" t="str" cm="1">
        <f t="array" ref="E46">_xlfn.IFS(
D46&lt;20,"Light",
D46&lt;50,"Medium",
D46&lt;100,"Heavy",
D46&gt;=100,"Very Heavy")</f>
        <v>Light</v>
      </c>
      <c r="F46" s="2">
        <v>20</v>
      </c>
      <c r="G46" s="2" t="str" cm="1">
        <f t="array" ref="G46">_xlfn.IFS(
F46&lt;50,"Small",
F46&lt;100,"Medium",
F46&lt;150,"Large",
F46&gt;=150,"Very Large"
)</f>
        <v>Small</v>
      </c>
      <c r="H46" s="2" t="s">
        <v>33</v>
      </c>
      <c r="I46" s="2">
        <v>50.636868999999997</v>
      </c>
      <c r="J46" s="2">
        <v>14.844555</v>
      </c>
      <c r="K46" s="2" t="str">
        <f t="shared" si="1"/>
        <v>Available</v>
      </c>
      <c r="L46" s="2" t="s">
        <v>10</v>
      </c>
      <c r="M46" s="3">
        <v>45352</v>
      </c>
      <c r="N46" s="3" t="str">
        <f t="shared" si="2"/>
        <v>March</v>
      </c>
      <c r="O46" s="2" t="s">
        <v>14</v>
      </c>
      <c r="P46" t="str">
        <f t="shared" si="3"/>
        <v>OK</v>
      </c>
    </row>
    <row r="47" spans="1:16" x14ac:dyDescent="0.3">
      <c r="A47" s="2">
        <f t="shared" si="0"/>
        <v>46</v>
      </c>
      <c r="B47" s="2" t="s">
        <v>30</v>
      </c>
      <c r="C47" s="2" t="s">
        <v>15</v>
      </c>
      <c r="D47" s="1">
        <v>0.6</v>
      </c>
      <c r="E47" s="1" t="str" cm="1">
        <f t="array" ref="E47">_xlfn.IFS(
D47&lt;20,"Light",
D47&lt;50,"Medium",
D47&lt;100,"Heavy",
D47&gt;=100,"Very Heavy")</f>
        <v>Light</v>
      </c>
      <c r="F47" s="2">
        <v>20.985294117647001</v>
      </c>
      <c r="G47" s="2" t="str" cm="1">
        <f t="array" ref="G47">_xlfn.IFS(
F47&lt;50,"Small",
F47&lt;100,"Medium",
F47&lt;150,"Large",
F47&gt;=150,"Very Large"
)</f>
        <v>Small</v>
      </c>
      <c r="H47" s="2" t="s">
        <v>32</v>
      </c>
      <c r="I47" s="2">
        <v>50.644733000000002</v>
      </c>
      <c r="J47" s="2">
        <v>14.835753</v>
      </c>
      <c r="K47" s="2" t="str">
        <f t="shared" si="1"/>
        <v>Available</v>
      </c>
      <c r="L47" s="2" t="s">
        <v>10</v>
      </c>
      <c r="M47" s="3">
        <v>45352</v>
      </c>
      <c r="N47" s="3" t="str">
        <f t="shared" si="2"/>
        <v>March</v>
      </c>
      <c r="O47" s="2" t="s">
        <v>14</v>
      </c>
      <c r="P47" t="str">
        <f t="shared" si="3"/>
        <v>OK</v>
      </c>
    </row>
    <row r="48" spans="1:16" x14ac:dyDescent="0.3">
      <c r="A48" s="2">
        <f t="shared" si="0"/>
        <v>47</v>
      </c>
      <c r="B48" s="2" t="s">
        <v>30</v>
      </c>
      <c r="C48" s="2" t="s">
        <v>15</v>
      </c>
      <c r="D48" s="1">
        <v>1.2</v>
      </c>
      <c r="E48" s="1" t="str" cm="1">
        <f t="array" ref="E48">_xlfn.IFS(
D48&lt;20,"Light",
D48&lt;50,"Medium",
D48&lt;100,"Heavy",
D48&gt;=100,"Very Heavy")</f>
        <v>Light</v>
      </c>
      <c r="F48" s="2">
        <v>31</v>
      </c>
      <c r="G48" s="2" t="str" cm="1">
        <f t="array" ref="G48">_xlfn.IFS(
F48&lt;50,"Small",
F48&lt;100,"Medium",
F48&lt;150,"Large",
F48&gt;=150,"Very Large"
)</f>
        <v>Small</v>
      </c>
      <c r="H48" s="2" t="s">
        <v>32</v>
      </c>
      <c r="I48" s="2">
        <v>50.635765999999997</v>
      </c>
      <c r="J48" s="2">
        <v>14.844246999999999</v>
      </c>
      <c r="K48" s="2" t="str">
        <f t="shared" si="1"/>
        <v>Available</v>
      </c>
      <c r="L48" s="2" t="s">
        <v>10</v>
      </c>
      <c r="M48" s="3">
        <v>45352</v>
      </c>
      <c r="N48" s="3" t="str">
        <f t="shared" si="2"/>
        <v>March</v>
      </c>
      <c r="O48" s="2" t="s">
        <v>14</v>
      </c>
      <c r="P48" t="str">
        <f t="shared" si="3"/>
        <v>OK</v>
      </c>
    </row>
    <row r="49" spans="1:16" x14ac:dyDescent="0.3">
      <c r="A49" s="2">
        <f t="shared" si="0"/>
        <v>48</v>
      </c>
      <c r="B49" s="2" t="s">
        <v>29</v>
      </c>
      <c r="C49" s="2" t="s">
        <v>13</v>
      </c>
      <c r="D49" s="1">
        <v>0.27500000000000002</v>
      </c>
      <c r="E49" s="1" t="str" cm="1">
        <f t="array" ref="E49">_xlfn.IFS(
D49&lt;20,"Light",
D49&lt;50,"Medium",
D49&lt;100,"Heavy",
D49&gt;=100,"Very Heavy")</f>
        <v>Light</v>
      </c>
      <c r="F49" s="2">
        <v>23</v>
      </c>
      <c r="G49" s="2" t="str" cm="1">
        <f t="array" ref="G49">_xlfn.IFS(
F49&lt;50,"Small",
F49&lt;100,"Medium",
F49&lt;150,"Large",
F49&gt;=150,"Very Large"
)</f>
        <v>Small</v>
      </c>
      <c r="H49" s="2" t="s">
        <v>32</v>
      </c>
      <c r="I49" s="2">
        <v>48.185352999999999</v>
      </c>
      <c r="J49" s="2">
        <v>17.083220000000001</v>
      </c>
      <c r="K49" s="2" t="str">
        <f t="shared" si="1"/>
        <v>Available</v>
      </c>
      <c r="L49" s="2" t="s">
        <v>10</v>
      </c>
      <c r="M49" s="3">
        <v>45352</v>
      </c>
      <c r="N49" s="3" t="str">
        <f t="shared" si="2"/>
        <v>March</v>
      </c>
      <c r="O49" s="2" t="s">
        <v>14</v>
      </c>
      <c r="P49" t="str">
        <f t="shared" si="3"/>
        <v>OK</v>
      </c>
    </row>
    <row r="50" spans="1:16" x14ac:dyDescent="0.3">
      <c r="A50" s="2">
        <f t="shared" si="0"/>
        <v>49</v>
      </c>
      <c r="B50" s="2" t="s">
        <v>30</v>
      </c>
      <c r="C50" s="2" t="s">
        <v>15</v>
      </c>
      <c r="D50" s="1">
        <v>0.9</v>
      </c>
      <c r="E50" s="1" t="str" cm="1">
        <f t="array" ref="E50">_xlfn.IFS(
D50&lt;20,"Light",
D50&lt;50,"Medium",
D50&lt;100,"Heavy",
D50&gt;=100,"Very Heavy")</f>
        <v>Light</v>
      </c>
      <c r="F50" s="2">
        <v>22</v>
      </c>
      <c r="G50" s="2" t="str" cm="1">
        <f t="array" ref="G50">_xlfn.IFS(
F50&lt;50,"Small",
F50&lt;100,"Medium",
F50&lt;150,"Large",
F50&gt;=150,"Very Large"
)</f>
        <v>Small</v>
      </c>
      <c r="H50" s="2" t="s">
        <v>32</v>
      </c>
      <c r="I50" s="2">
        <v>50.642842999999999</v>
      </c>
      <c r="J50" s="2">
        <v>14.841240000000001</v>
      </c>
      <c r="K50" s="2" t="str">
        <f t="shared" si="1"/>
        <v>Available</v>
      </c>
      <c r="L50" s="2" t="s">
        <v>10</v>
      </c>
      <c r="M50" s="3">
        <v>45352</v>
      </c>
      <c r="N50" s="3" t="str">
        <f t="shared" si="2"/>
        <v>March</v>
      </c>
      <c r="O50" s="2" t="s">
        <v>14</v>
      </c>
      <c r="P50" t="str">
        <f t="shared" si="3"/>
        <v>OK</v>
      </c>
    </row>
    <row r="51" spans="1:16" x14ac:dyDescent="0.3">
      <c r="A51" s="2">
        <f t="shared" si="0"/>
        <v>50</v>
      </c>
      <c r="B51" s="2" t="s">
        <v>28</v>
      </c>
      <c r="C51" s="2" t="s">
        <v>7</v>
      </c>
      <c r="D51" s="1">
        <v>23</v>
      </c>
      <c r="E51" s="1" t="str" cm="1">
        <f t="array" ref="E51">_xlfn.IFS(
D51&lt;20,"Light",
D51&lt;50,"Medium",
D51&lt;100,"Heavy",
D51&gt;=100,"Very Heavy")</f>
        <v>Medium</v>
      </c>
      <c r="F51" s="2">
        <v>78</v>
      </c>
      <c r="G51" s="2" t="str" cm="1">
        <f t="array" ref="G51">_xlfn.IFS(
F51&lt;50,"Small",
F51&lt;100,"Medium",
F51&lt;150,"Large",
F51&gt;=150,"Very Large"
)</f>
        <v>Medium</v>
      </c>
      <c r="H51" s="2" t="s">
        <v>33</v>
      </c>
      <c r="I51" s="2">
        <v>48.504128000000001</v>
      </c>
      <c r="J51" s="2">
        <v>20.568479</v>
      </c>
      <c r="K51" s="2" t="str">
        <f t="shared" si="1"/>
        <v>Available</v>
      </c>
      <c r="L51" s="2" t="s">
        <v>10</v>
      </c>
      <c r="M51" s="3">
        <v>45353</v>
      </c>
      <c r="N51" s="3" t="str">
        <f t="shared" si="2"/>
        <v>March</v>
      </c>
      <c r="O51" s="2" t="s">
        <v>6</v>
      </c>
      <c r="P51" t="str">
        <f t="shared" si="3"/>
        <v>OK</v>
      </c>
    </row>
    <row r="52" spans="1:16" x14ac:dyDescent="0.3">
      <c r="A52" s="2">
        <f t="shared" si="0"/>
        <v>51</v>
      </c>
      <c r="B52" s="2" t="s">
        <v>28</v>
      </c>
      <c r="C52" s="2" t="s">
        <v>4</v>
      </c>
      <c r="D52" s="1">
        <v>29</v>
      </c>
      <c r="E52" s="1" t="str" cm="1">
        <f t="array" ref="E52">_xlfn.IFS(
D52&lt;20,"Light",
D52&lt;50,"Medium",
D52&lt;100,"Heavy",
D52&gt;=100,"Very Heavy")</f>
        <v>Medium</v>
      </c>
      <c r="F52" s="2">
        <v>94</v>
      </c>
      <c r="G52" s="2" t="str" cm="1">
        <f t="array" ref="G52">_xlfn.IFS(
F52&lt;50,"Small",
F52&lt;100,"Medium",
F52&lt;150,"Large",
F52&gt;=150,"Very Large"
)</f>
        <v>Medium</v>
      </c>
      <c r="H52" s="2" t="s">
        <v>32</v>
      </c>
      <c r="I52" s="2">
        <v>52.809851000000002</v>
      </c>
      <c r="J52" s="2">
        <v>23.858070999999999</v>
      </c>
      <c r="K52" s="2" t="str">
        <f t="shared" si="1"/>
        <v>Available</v>
      </c>
      <c r="L52" s="2" t="s">
        <v>10</v>
      </c>
      <c r="M52" s="3">
        <v>45353</v>
      </c>
      <c r="N52" s="3" t="str">
        <f t="shared" si="2"/>
        <v>March</v>
      </c>
      <c r="O52" s="2" t="s">
        <v>6</v>
      </c>
      <c r="P52" t="str">
        <f t="shared" si="3"/>
        <v>OK</v>
      </c>
    </row>
    <row r="53" spans="1:16" x14ac:dyDescent="0.3">
      <c r="A53" s="2">
        <f t="shared" si="0"/>
        <v>52</v>
      </c>
      <c r="B53" s="2" t="s">
        <v>29</v>
      </c>
      <c r="C53" s="2" t="s">
        <v>11</v>
      </c>
      <c r="D53" s="1">
        <v>0.24399999999999999</v>
      </c>
      <c r="E53" s="1" t="str" cm="1">
        <f t="array" ref="E53">_xlfn.IFS(
D53&lt;20,"Light",
D53&lt;50,"Medium",
D53&lt;100,"Heavy",
D53&gt;=100,"Very Heavy")</f>
        <v>Light</v>
      </c>
      <c r="F53" s="2">
        <v>22</v>
      </c>
      <c r="G53" s="2" t="str" cm="1">
        <f t="array" ref="G53">_xlfn.IFS(
F53&lt;50,"Small",
F53&lt;100,"Medium",
F53&lt;150,"Large",
F53&gt;=150,"Very Large"
)</f>
        <v>Small</v>
      </c>
      <c r="H53" s="2" t="s">
        <v>33</v>
      </c>
      <c r="K53" s="2" t="str">
        <f t="shared" si="1"/>
        <v>Missing Location</v>
      </c>
      <c r="L53" s="2" t="s">
        <v>10</v>
      </c>
      <c r="M53" s="3">
        <v>45353</v>
      </c>
      <c r="N53" s="3" t="str">
        <f t="shared" si="2"/>
        <v>March</v>
      </c>
      <c r="O53" s="2" t="s">
        <v>12</v>
      </c>
      <c r="P53" t="str">
        <f t="shared" si="3"/>
        <v>Needs Review</v>
      </c>
    </row>
    <row r="54" spans="1:16" x14ac:dyDescent="0.3">
      <c r="A54" s="2">
        <f t="shared" si="0"/>
        <v>53</v>
      </c>
      <c r="B54" s="2" t="s">
        <v>29</v>
      </c>
      <c r="C54" s="2" t="s">
        <v>11</v>
      </c>
      <c r="D54" s="1">
        <v>0.29899999999999999</v>
      </c>
      <c r="E54" s="1" t="str" cm="1">
        <f t="array" ref="E54">_xlfn.IFS(
D54&lt;20,"Light",
D54&lt;50,"Medium",
D54&lt;100,"Heavy",
D54&gt;=100,"Very Heavy")</f>
        <v>Light</v>
      </c>
      <c r="F54" s="2">
        <v>21</v>
      </c>
      <c r="G54" s="2" t="str" cm="1">
        <f t="array" ref="G54">_xlfn.IFS(
F54&lt;50,"Small",
F54&lt;100,"Medium",
F54&lt;150,"Large",
F54&gt;=150,"Very Large"
)</f>
        <v>Small</v>
      </c>
      <c r="H54" s="2" t="s">
        <v>32</v>
      </c>
      <c r="K54" s="2" t="str">
        <f t="shared" si="1"/>
        <v>Missing Location</v>
      </c>
      <c r="L54" s="2" t="s">
        <v>10</v>
      </c>
      <c r="M54" s="3">
        <v>45353</v>
      </c>
      <c r="N54" s="3" t="str">
        <f t="shared" si="2"/>
        <v>March</v>
      </c>
      <c r="O54" s="2" t="s">
        <v>12</v>
      </c>
      <c r="P54" t="str">
        <f t="shared" si="3"/>
        <v>Needs Review</v>
      </c>
    </row>
    <row r="55" spans="1:16" x14ac:dyDescent="0.3">
      <c r="A55" s="2">
        <f t="shared" si="0"/>
        <v>54</v>
      </c>
      <c r="B55" s="2" t="s">
        <v>29</v>
      </c>
      <c r="C55" s="2" t="s">
        <v>11</v>
      </c>
      <c r="D55" s="1">
        <v>0.28399999999999997</v>
      </c>
      <c r="E55" s="1" t="str" cm="1">
        <f t="array" ref="E55">_xlfn.IFS(
D55&lt;20,"Light",
D55&lt;50,"Medium",
D55&lt;100,"Heavy",
D55&gt;=100,"Very Heavy")</f>
        <v>Light</v>
      </c>
      <c r="F55" s="2">
        <v>20</v>
      </c>
      <c r="G55" s="2" t="str" cm="1">
        <f t="array" ref="G55">_xlfn.IFS(
F55&lt;50,"Small",
F55&lt;100,"Medium",
F55&lt;150,"Large",
F55&gt;=150,"Very Large"
)</f>
        <v>Small</v>
      </c>
      <c r="H55" s="2" t="s">
        <v>33</v>
      </c>
      <c r="K55" s="2" t="str">
        <f t="shared" si="1"/>
        <v>Missing Location</v>
      </c>
      <c r="L55" s="2" t="s">
        <v>10</v>
      </c>
      <c r="M55" s="3">
        <v>45353</v>
      </c>
      <c r="N55" s="3" t="str">
        <f t="shared" si="2"/>
        <v>March</v>
      </c>
      <c r="O55" s="2" t="s">
        <v>12</v>
      </c>
      <c r="P55" t="str">
        <f t="shared" si="3"/>
        <v>Needs Review</v>
      </c>
    </row>
    <row r="56" spans="1:16" x14ac:dyDescent="0.3">
      <c r="A56" s="2">
        <f t="shared" si="0"/>
        <v>55</v>
      </c>
      <c r="B56" s="2" t="s">
        <v>29</v>
      </c>
      <c r="C56" s="2" t="s">
        <v>11</v>
      </c>
      <c r="D56" s="1">
        <v>0.28899999999999998</v>
      </c>
      <c r="E56" s="1" t="str" cm="1">
        <f t="array" ref="E56">_xlfn.IFS(
D56&lt;20,"Light",
D56&lt;50,"Medium",
D56&lt;100,"Heavy",
D56&gt;=100,"Very Heavy")</f>
        <v>Light</v>
      </c>
      <c r="F56" s="2">
        <v>20</v>
      </c>
      <c r="G56" s="2" t="str" cm="1">
        <f t="array" ref="G56">_xlfn.IFS(
F56&lt;50,"Small",
F56&lt;100,"Medium",
F56&lt;150,"Large",
F56&gt;=150,"Very Large"
)</f>
        <v>Small</v>
      </c>
      <c r="H56" s="2" t="s">
        <v>33</v>
      </c>
      <c r="K56" s="2" t="str">
        <f t="shared" si="1"/>
        <v>Missing Location</v>
      </c>
      <c r="L56" s="2" t="s">
        <v>10</v>
      </c>
      <c r="M56" s="3">
        <v>45353</v>
      </c>
      <c r="N56" s="3" t="str">
        <f t="shared" si="2"/>
        <v>March</v>
      </c>
      <c r="O56" s="2" t="s">
        <v>12</v>
      </c>
      <c r="P56" t="str">
        <f t="shared" si="3"/>
        <v>Needs Review</v>
      </c>
    </row>
    <row r="57" spans="1:16" x14ac:dyDescent="0.3">
      <c r="A57" s="2">
        <f t="shared" si="0"/>
        <v>56</v>
      </c>
      <c r="B57" s="2" t="s">
        <v>29</v>
      </c>
      <c r="C57" s="2" t="s">
        <v>11</v>
      </c>
      <c r="D57" s="1">
        <v>0.28399999999999997</v>
      </c>
      <c r="E57" s="1" t="str" cm="1">
        <f t="array" ref="E57">_xlfn.IFS(
D57&lt;20,"Light",
D57&lt;50,"Medium",
D57&lt;100,"Heavy",
D57&gt;=100,"Very Heavy")</f>
        <v>Light</v>
      </c>
      <c r="F57" s="2">
        <v>21</v>
      </c>
      <c r="G57" s="2" t="str" cm="1">
        <f t="array" ref="G57">_xlfn.IFS(
F57&lt;50,"Small",
F57&lt;100,"Medium",
F57&lt;150,"Large",
F57&gt;=150,"Very Large"
)</f>
        <v>Small</v>
      </c>
      <c r="H57" s="2" t="s">
        <v>32</v>
      </c>
      <c r="K57" s="2" t="str">
        <f t="shared" si="1"/>
        <v>Missing Location</v>
      </c>
      <c r="L57" s="2" t="s">
        <v>10</v>
      </c>
      <c r="M57" s="3">
        <v>45353</v>
      </c>
      <c r="N57" s="3" t="str">
        <f t="shared" si="2"/>
        <v>March</v>
      </c>
      <c r="O57" s="2" t="s">
        <v>12</v>
      </c>
      <c r="P57" t="str">
        <f t="shared" si="3"/>
        <v>Needs Review</v>
      </c>
    </row>
    <row r="58" spans="1:16" x14ac:dyDescent="0.3">
      <c r="A58" s="2">
        <f t="shared" si="0"/>
        <v>57</v>
      </c>
      <c r="B58" s="2" t="s">
        <v>29</v>
      </c>
      <c r="C58" s="2" t="s">
        <v>11</v>
      </c>
      <c r="D58" s="1">
        <v>0.314</v>
      </c>
      <c r="E58" s="1" t="str" cm="1">
        <f t="array" ref="E58">_xlfn.IFS(
D58&lt;20,"Light",
D58&lt;50,"Medium",
D58&lt;100,"Heavy",
D58&gt;=100,"Very Heavy")</f>
        <v>Light</v>
      </c>
      <c r="F58" s="2">
        <v>22</v>
      </c>
      <c r="G58" s="2" t="str" cm="1">
        <f t="array" ref="G58">_xlfn.IFS(
F58&lt;50,"Small",
F58&lt;100,"Medium",
F58&lt;150,"Large",
F58&gt;=150,"Very Large"
)</f>
        <v>Small</v>
      </c>
      <c r="H58" s="2" t="s">
        <v>32</v>
      </c>
      <c r="K58" s="2" t="str">
        <f t="shared" si="1"/>
        <v>Missing Location</v>
      </c>
      <c r="L58" s="2" t="s">
        <v>10</v>
      </c>
      <c r="M58" s="3">
        <v>45353</v>
      </c>
      <c r="N58" s="3" t="str">
        <f t="shared" si="2"/>
        <v>March</v>
      </c>
      <c r="O58" s="2" t="s">
        <v>12</v>
      </c>
      <c r="P58" t="str">
        <f t="shared" si="3"/>
        <v>Needs Review</v>
      </c>
    </row>
    <row r="59" spans="1:16" x14ac:dyDescent="0.3">
      <c r="A59" s="2">
        <f t="shared" si="0"/>
        <v>58</v>
      </c>
      <c r="B59" s="2" t="s">
        <v>29</v>
      </c>
      <c r="C59" s="2" t="s">
        <v>11</v>
      </c>
      <c r="D59" s="1">
        <v>0.26200000000000001</v>
      </c>
      <c r="E59" s="1" t="str" cm="1">
        <f t="array" ref="E59">_xlfn.IFS(
D59&lt;20,"Light",
D59&lt;50,"Medium",
D59&lt;100,"Heavy",
D59&gt;=100,"Very Heavy")</f>
        <v>Light</v>
      </c>
      <c r="F59" s="2">
        <v>19</v>
      </c>
      <c r="G59" s="2" t="str" cm="1">
        <f t="array" ref="G59">_xlfn.IFS(
F59&lt;50,"Small",
F59&lt;100,"Medium",
F59&lt;150,"Large",
F59&gt;=150,"Very Large"
)</f>
        <v>Small</v>
      </c>
      <c r="H59" s="2" t="s">
        <v>33</v>
      </c>
      <c r="K59" s="2" t="str">
        <f t="shared" si="1"/>
        <v>Missing Location</v>
      </c>
      <c r="L59" s="2" t="s">
        <v>10</v>
      </c>
      <c r="M59" s="3">
        <v>45353</v>
      </c>
      <c r="N59" s="3" t="str">
        <f t="shared" si="2"/>
        <v>March</v>
      </c>
      <c r="O59" s="2" t="s">
        <v>12</v>
      </c>
      <c r="P59" t="str">
        <f t="shared" si="3"/>
        <v>Needs Review</v>
      </c>
    </row>
    <row r="60" spans="1:16" x14ac:dyDescent="0.3">
      <c r="A60" s="2">
        <f t="shared" si="0"/>
        <v>59</v>
      </c>
      <c r="B60" s="2" t="s">
        <v>29</v>
      </c>
      <c r="C60" s="2" t="s">
        <v>11</v>
      </c>
      <c r="D60" s="1">
        <v>0.25800000000000001</v>
      </c>
      <c r="E60" s="1" t="str" cm="1">
        <f t="array" ref="E60">_xlfn.IFS(
D60&lt;20,"Light",
D60&lt;50,"Medium",
D60&lt;100,"Heavy",
D60&gt;=100,"Very Heavy")</f>
        <v>Light</v>
      </c>
      <c r="F60" s="2">
        <v>20</v>
      </c>
      <c r="G60" s="2" t="str" cm="1">
        <f t="array" ref="G60">_xlfn.IFS(
F60&lt;50,"Small",
F60&lt;100,"Medium",
F60&lt;150,"Large",
F60&gt;=150,"Very Large"
)</f>
        <v>Small</v>
      </c>
      <c r="H60" s="2" t="s">
        <v>32</v>
      </c>
      <c r="K60" s="2" t="str">
        <f t="shared" si="1"/>
        <v>Missing Location</v>
      </c>
      <c r="L60" s="2" t="s">
        <v>10</v>
      </c>
      <c r="M60" s="3">
        <v>45353</v>
      </c>
      <c r="N60" s="3" t="str">
        <f t="shared" si="2"/>
        <v>March</v>
      </c>
      <c r="O60" s="2" t="s">
        <v>12</v>
      </c>
      <c r="P60" t="str">
        <f t="shared" si="3"/>
        <v>Needs Review</v>
      </c>
    </row>
    <row r="61" spans="1:16" x14ac:dyDescent="0.3">
      <c r="A61" s="2">
        <f t="shared" si="0"/>
        <v>60</v>
      </c>
      <c r="B61" s="2" t="s">
        <v>29</v>
      </c>
      <c r="C61" s="2" t="s">
        <v>11</v>
      </c>
      <c r="D61" s="1">
        <v>0.29699999999999999</v>
      </c>
      <c r="E61" s="1" t="str" cm="1">
        <f t="array" ref="E61">_xlfn.IFS(
D61&lt;20,"Light",
D61&lt;50,"Medium",
D61&lt;100,"Heavy",
D61&gt;=100,"Very Heavy")</f>
        <v>Light</v>
      </c>
      <c r="F61" s="2">
        <v>21</v>
      </c>
      <c r="G61" s="2" t="str" cm="1">
        <f t="array" ref="G61">_xlfn.IFS(
F61&lt;50,"Small",
F61&lt;100,"Medium",
F61&lt;150,"Large",
F61&gt;=150,"Very Large"
)</f>
        <v>Small</v>
      </c>
      <c r="H61" s="2" t="s">
        <v>32</v>
      </c>
      <c r="K61" s="2" t="str">
        <f t="shared" si="1"/>
        <v>Missing Location</v>
      </c>
      <c r="L61" s="2" t="s">
        <v>10</v>
      </c>
      <c r="M61" s="3">
        <v>45353</v>
      </c>
      <c r="N61" s="3" t="str">
        <f t="shared" si="2"/>
        <v>March</v>
      </c>
      <c r="O61" s="2" t="s">
        <v>12</v>
      </c>
      <c r="P61" t="str">
        <f t="shared" si="3"/>
        <v>Needs Review</v>
      </c>
    </row>
    <row r="62" spans="1:16" x14ac:dyDescent="0.3">
      <c r="A62" s="2">
        <f t="shared" si="0"/>
        <v>61</v>
      </c>
      <c r="B62" s="2" t="s">
        <v>29</v>
      </c>
      <c r="C62" s="2" t="s">
        <v>11</v>
      </c>
      <c r="D62" s="1">
        <v>0.255</v>
      </c>
      <c r="E62" s="1" t="str" cm="1">
        <f t="array" ref="E62">_xlfn.IFS(
D62&lt;20,"Light",
D62&lt;50,"Medium",
D62&lt;100,"Heavy",
D62&gt;=100,"Very Heavy")</f>
        <v>Light</v>
      </c>
      <c r="F62" s="2">
        <v>22</v>
      </c>
      <c r="G62" s="2" t="str" cm="1">
        <f t="array" ref="G62">_xlfn.IFS(
F62&lt;50,"Small",
F62&lt;100,"Medium",
F62&lt;150,"Large",
F62&gt;=150,"Very Large"
)</f>
        <v>Small</v>
      </c>
      <c r="H62" s="2" t="s">
        <v>33</v>
      </c>
      <c r="K62" s="2" t="str">
        <f t="shared" si="1"/>
        <v>Missing Location</v>
      </c>
      <c r="L62" s="2" t="s">
        <v>10</v>
      </c>
      <c r="M62" s="3">
        <v>45353</v>
      </c>
      <c r="N62" s="3" t="str">
        <f t="shared" si="2"/>
        <v>March</v>
      </c>
      <c r="O62" s="2" t="s">
        <v>12</v>
      </c>
      <c r="P62" t="str">
        <f t="shared" si="3"/>
        <v>Needs Review</v>
      </c>
    </row>
    <row r="63" spans="1:16" x14ac:dyDescent="0.3">
      <c r="A63" s="2">
        <f t="shared" si="0"/>
        <v>62</v>
      </c>
      <c r="B63" s="2" t="s">
        <v>29</v>
      </c>
      <c r="C63" s="2" t="s">
        <v>11</v>
      </c>
      <c r="D63" s="1">
        <v>0.28000000000000003</v>
      </c>
      <c r="E63" s="1" t="str" cm="1">
        <f t="array" ref="E63">_xlfn.IFS(
D63&lt;20,"Light",
D63&lt;50,"Medium",
D63&lt;100,"Heavy",
D63&gt;=100,"Very Heavy")</f>
        <v>Light</v>
      </c>
      <c r="F63" s="2">
        <v>22</v>
      </c>
      <c r="G63" s="2" t="str" cm="1">
        <f t="array" ref="G63">_xlfn.IFS(
F63&lt;50,"Small",
F63&lt;100,"Medium",
F63&lt;150,"Large",
F63&gt;=150,"Very Large"
)</f>
        <v>Small</v>
      </c>
      <c r="H63" s="2" t="s">
        <v>32</v>
      </c>
      <c r="K63" s="2" t="str">
        <f t="shared" si="1"/>
        <v>Missing Location</v>
      </c>
      <c r="L63" s="2" t="s">
        <v>10</v>
      </c>
      <c r="M63" s="3">
        <v>45353</v>
      </c>
      <c r="N63" s="3" t="str">
        <f t="shared" si="2"/>
        <v>March</v>
      </c>
      <c r="O63" s="2" t="s">
        <v>12</v>
      </c>
      <c r="P63" t="str">
        <f t="shared" si="3"/>
        <v>Needs Review</v>
      </c>
    </row>
    <row r="64" spans="1:16" x14ac:dyDescent="0.3">
      <c r="A64" s="2">
        <f t="shared" si="0"/>
        <v>63</v>
      </c>
      <c r="B64" s="2" t="s">
        <v>29</v>
      </c>
      <c r="C64" s="2" t="s">
        <v>11</v>
      </c>
      <c r="D64" s="1">
        <v>0.29299999999999998</v>
      </c>
      <c r="E64" s="1" t="str" cm="1">
        <f t="array" ref="E64">_xlfn.IFS(
D64&lt;20,"Light",
D64&lt;50,"Medium",
D64&lt;100,"Heavy",
D64&gt;=100,"Very Heavy")</f>
        <v>Light</v>
      </c>
      <c r="F64" s="2">
        <v>22</v>
      </c>
      <c r="G64" s="2" t="str" cm="1">
        <f t="array" ref="G64">_xlfn.IFS(
F64&lt;50,"Small",
F64&lt;100,"Medium",
F64&lt;150,"Large",
F64&gt;=150,"Very Large"
)</f>
        <v>Small</v>
      </c>
      <c r="H64" s="2" t="s">
        <v>32</v>
      </c>
      <c r="K64" s="2" t="str">
        <f t="shared" si="1"/>
        <v>Missing Location</v>
      </c>
      <c r="L64" s="2" t="s">
        <v>10</v>
      </c>
      <c r="M64" s="3">
        <v>45353</v>
      </c>
      <c r="N64" s="3" t="str">
        <f t="shared" si="2"/>
        <v>March</v>
      </c>
      <c r="O64" s="2" t="s">
        <v>12</v>
      </c>
      <c r="P64" t="str">
        <f t="shared" si="3"/>
        <v>Needs Review</v>
      </c>
    </row>
    <row r="65" spans="1:16" x14ac:dyDescent="0.3">
      <c r="A65" s="2">
        <f t="shared" si="0"/>
        <v>64</v>
      </c>
      <c r="B65" s="2" t="s">
        <v>29</v>
      </c>
      <c r="C65" s="2" t="s">
        <v>11</v>
      </c>
      <c r="D65" s="1">
        <v>0.29499999999999998</v>
      </c>
      <c r="E65" s="1" t="str" cm="1">
        <f t="array" ref="E65">_xlfn.IFS(
D65&lt;20,"Light",
D65&lt;50,"Medium",
D65&lt;100,"Heavy",
D65&gt;=100,"Very Heavy")</f>
        <v>Light</v>
      </c>
      <c r="F65" s="2">
        <v>20</v>
      </c>
      <c r="G65" s="2" t="str" cm="1">
        <f t="array" ref="G65">_xlfn.IFS(
F65&lt;50,"Small",
F65&lt;100,"Medium",
F65&lt;150,"Large",
F65&gt;=150,"Very Large"
)</f>
        <v>Small</v>
      </c>
      <c r="H65" s="2" t="s">
        <v>32</v>
      </c>
      <c r="K65" s="2" t="str">
        <f t="shared" si="1"/>
        <v>Missing Location</v>
      </c>
      <c r="L65" s="2" t="s">
        <v>10</v>
      </c>
      <c r="M65" s="3">
        <v>45353</v>
      </c>
      <c r="N65" s="3" t="str">
        <f t="shared" si="2"/>
        <v>March</v>
      </c>
      <c r="O65" s="2" t="s">
        <v>12</v>
      </c>
      <c r="P65" t="str">
        <f t="shared" si="3"/>
        <v>Needs Review</v>
      </c>
    </row>
    <row r="66" spans="1:16" x14ac:dyDescent="0.3">
      <c r="A66" s="2">
        <f t="shared" si="0"/>
        <v>65</v>
      </c>
      <c r="B66" s="2" t="s">
        <v>29</v>
      </c>
      <c r="C66" s="2" t="s">
        <v>11</v>
      </c>
      <c r="D66" s="1">
        <v>0.28000000000000003</v>
      </c>
      <c r="E66" s="1" t="str" cm="1">
        <f t="array" ref="E66">_xlfn.IFS(
D66&lt;20,"Light",
D66&lt;50,"Medium",
D66&lt;100,"Heavy",
D66&gt;=100,"Very Heavy")</f>
        <v>Light</v>
      </c>
      <c r="F66" s="2">
        <v>20</v>
      </c>
      <c r="G66" s="2" t="str" cm="1">
        <f t="array" ref="G66">_xlfn.IFS(
F66&lt;50,"Small",
F66&lt;100,"Medium",
F66&lt;150,"Large",
F66&gt;=150,"Very Large"
)</f>
        <v>Small</v>
      </c>
      <c r="H66" s="2" t="s">
        <v>32</v>
      </c>
      <c r="K66" s="2" t="str">
        <f t="shared" si="1"/>
        <v>Missing Location</v>
      </c>
      <c r="L66" s="2" t="s">
        <v>10</v>
      </c>
      <c r="M66" s="3">
        <v>45353</v>
      </c>
      <c r="N66" s="3" t="str">
        <f t="shared" si="2"/>
        <v>March</v>
      </c>
      <c r="O66" s="2" t="s">
        <v>12</v>
      </c>
      <c r="P66" t="str">
        <f t="shared" si="3"/>
        <v>Needs Review</v>
      </c>
    </row>
    <row r="67" spans="1:16" x14ac:dyDescent="0.3">
      <c r="A67" s="2">
        <f t="shared" ref="A67:A130" si="4">ROW()-1</f>
        <v>66</v>
      </c>
      <c r="B67" s="2" t="s">
        <v>29</v>
      </c>
      <c r="C67" s="2" t="s">
        <v>11</v>
      </c>
      <c r="D67" s="1">
        <v>0.28100000000000003</v>
      </c>
      <c r="E67" s="1" t="str" cm="1">
        <f t="array" ref="E67">_xlfn.IFS(
D67&lt;20,"Light",
D67&lt;50,"Medium",
D67&lt;100,"Heavy",
D67&gt;=100,"Very Heavy")</f>
        <v>Light</v>
      </c>
      <c r="F67" s="2">
        <v>20</v>
      </c>
      <c r="G67" s="2" t="str" cm="1">
        <f t="array" ref="G67">_xlfn.IFS(
F67&lt;50,"Small",
F67&lt;100,"Medium",
F67&lt;150,"Large",
F67&gt;=150,"Very Large"
)</f>
        <v>Small</v>
      </c>
      <c r="H67" s="2" t="s">
        <v>32</v>
      </c>
      <c r="K67" s="2" t="str">
        <f t="shared" ref="K67:K130" si="5">IF(OR(I67="",J67=""),"Missing Location","Available")</f>
        <v>Missing Location</v>
      </c>
      <c r="L67" s="2" t="s">
        <v>10</v>
      </c>
      <c r="M67" s="3">
        <v>45353</v>
      </c>
      <c r="N67" s="3" t="str">
        <f t="shared" ref="N67:N130" si="6">TEXT(M67,"mmmm")</f>
        <v>March</v>
      </c>
      <c r="O67" s="2" t="s">
        <v>12</v>
      </c>
      <c r="P67" t="str">
        <f t="shared" ref="P67:P130" si="7">IF(OR(B67="",C67="",D67="",E67="",J67=""),"Needs Review","OK")</f>
        <v>Needs Review</v>
      </c>
    </row>
    <row r="68" spans="1:16" x14ac:dyDescent="0.3">
      <c r="A68" s="2">
        <f t="shared" si="4"/>
        <v>67</v>
      </c>
      <c r="B68" s="2" t="s">
        <v>29</v>
      </c>
      <c r="C68" s="2" t="s">
        <v>11</v>
      </c>
      <c r="D68" s="1">
        <v>0.245</v>
      </c>
      <c r="E68" s="1" t="str" cm="1">
        <f t="array" ref="E68">_xlfn.IFS(
D68&lt;20,"Light",
D68&lt;50,"Medium",
D68&lt;100,"Heavy",
D68&gt;=100,"Very Heavy")</f>
        <v>Light</v>
      </c>
      <c r="F68" s="2">
        <v>21</v>
      </c>
      <c r="G68" s="2" t="str" cm="1">
        <f t="array" ref="G68">_xlfn.IFS(
F68&lt;50,"Small",
F68&lt;100,"Medium",
F68&lt;150,"Large",
F68&gt;=150,"Very Large"
)</f>
        <v>Small</v>
      </c>
      <c r="H68" s="2" t="s">
        <v>33</v>
      </c>
      <c r="K68" s="2" t="str">
        <f t="shared" si="5"/>
        <v>Missing Location</v>
      </c>
      <c r="L68" s="2" t="s">
        <v>10</v>
      </c>
      <c r="M68" s="3">
        <v>45353</v>
      </c>
      <c r="N68" s="3" t="str">
        <f t="shared" si="6"/>
        <v>March</v>
      </c>
      <c r="O68" s="2" t="s">
        <v>12</v>
      </c>
      <c r="P68" t="str">
        <f t="shared" si="7"/>
        <v>Needs Review</v>
      </c>
    </row>
    <row r="69" spans="1:16" x14ac:dyDescent="0.3">
      <c r="A69" s="2">
        <f t="shared" si="4"/>
        <v>68</v>
      </c>
      <c r="B69" s="2" t="s">
        <v>29</v>
      </c>
      <c r="C69" s="2" t="s">
        <v>11</v>
      </c>
      <c r="D69" s="1">
        <v>0.28299999999999997</v>
      </c>
      <c r="E69" s="1" t="str" cm="1">
        <f t="array" ref="E69">_xlfn.IFS(
D69&lt;20,"Light",
D69&lt;50,"Medium",
D69&lt;100,"Heavy",
D69&gt;=100,"Very Heavy")</f>
        <v>Light</v>
      </c>
      <c r="F69" s="2">
        <v>21</v>
      </c>
      <c r="G69" s="2" t="str" cm="1">
        <f t="array" ref="G69">_xlfn.IFS(
F69&lt;50,"Small",
F69&lt;100,"Medium",
F69&lt;150,"Large",
F69&gt;=150,"Very Large"
)</f>
        <v>Small</v>
      </c>
      <c r="H69" s="2" t="s">
        <v>32</v>
      </c>
      <c r="K69" s="2" t="str">
        <f t="shared" si="5"/>
        <v>Missing Location</v>
      </c>
      <c r="L69" s="2" t="s">
        <v>10</v>
      </c>
      <c r="M69" s="3">
        <v>45353</v>
      </c>
      <c r="N69" s="3" t="str">
        <f t="shared" si="6"/>
        <v>March</v>
      </c>
      <c r="O69" s="2" t="s">
        <v>12</v>
      </c>
      <c r="P69" t="str">
        <f t="shared" si="7"/>
        <v>Needs Review</v>
      </c>
    </row>
    <row r="70" spans="1:16" x14ac:dyDescent="0.3">
      <c r="A70" s="2">
        <f t="shared" si="4"/>
        <v>69</v>
      </c>
      <c r="B70" s="2" t="s">
        <v>29</v>
      </c>
      <c r="C70" s="2" t="s">
        <v>11</v>
      </c>
      <c r="D70" s="1">
        <v>0.27</v>
      </c>
      <c r="E70" s="1" t="str" cm="1">
        <f t="array" ref="E70">_xlfn.IFS(
D70&lt;20,"Light",
D70&lt;50,"Medium",
D70&lt;100,"Heavy",
D70&gt;=100,"Very Heavy")</f>
        <v>Light</v>
      </c>
      <c r="F70" s="2">
        <v>19</v>
      </c>
      <c r="G70" s="2" t="str" cm="1">
        <f t="array" ref="G70">_xlfn.IFS(
F70&lt;50,"Small",
F70&lt;100,"Medium",
F70&lt;150,"Large",
F70&gt;=150,"Very Large"
)</f>
        <v>Small</v>
      </c>
      <c r="H70" s="2" t="s">
        <v>32</v>
      </c>
      <c r="K70" s="2" t="str">
        <f t="shared" si="5"/>
        <v>Missing Location</v>
      </c>
      <c r="L70" s="2" t="s">
        <v>10</v>
      </c>
      <c r="M70" s="3">
        <v>45353</v>
      </c>
      <c r="N70" s="3" t="str">
        <f t="shared" si="6"/>
        <v>March</v>
      </c>
      <c r="O70" s="2" t="s">
        <v>12</v>
      </c>
      <c r="P70" t="str">
        <f t="shared" si="7"/>
        <v>Needs Review</v>
      </c>
    </row>
    <row r="71" spans="1:16" x14ac:dyDescent="0.3">
      <c r="A71" s="2">
        <f t="shared" si="4"/>
        <v>70</v>
      </c>
      <c r="B71" s="2" t="s">
        <v>29</v>
      </c>
      <c r="C71" s="2" t="s">
        <v>11</v>
      </c>
      <c r="D71" s="1">
        <v>0.315</v>
      </c>
      <c r="E71" s="1" t="str" cm="1">
        <f t="array" ref="E71">_xlfn.IFS(
D71&lt;20,"Light",
D71&lt;50,"Medium",
D71&lt;100,"Heavy",
D71&gt;=100,"Very Heavy")</f>
        <v>Light</v>
      </c>
      <c r="F71" s="2">
        <v>22</v>
      </c>
      <c r="G71" s="2" t="str" cm="1">
        <f t="array" ref="G71">_xlfn.IFS(
F71&lt;50,"Small",
F71&lt;100,"Medium",
F71&lt;150,"Large",
F71&gt;=150,"Very Large"
)</f>
        <v>Small</v>
      </c>
      <c r="H71" s="2" t="s">
        <v>32</v>
      </c>
      <c r="K71" s="2" t="str">
        <f t="shared" si="5"/>
        <v>Missing Location</v>
      </c>
      <c r="L71" s="2" t="s">
        <v>10</v>
      </c>
      <c r="M71" s="3">
        <v>45353</v>
      </c>
      <c r="N71" s="3" t="str">
        <f t="shared" si="6"/>
        <v>March</v>
      </c>
      <c r="O71" s="2" t="s">
        <v>12</v>
      </c>
      <c r="P71" t="str">
        <f t="shared" si="7"/>
        <v>Needs Review</v>
      </c>
    </row>
    <row r="72" spans="1:16" x14ac:dyDescent="0.3">
      <c r="A72" s="2">
        <f t="shared" si="4"/>
        <v>71</v>
      </c>
      <c r="B72" s="2" t="s">
        <v>29</v>
      </c>
      <c r="C72" s="2" t="s">
        <v>11</v>
      </c>
      <c r="D72" s="1">
        <v>0.254</v>
      </c>
      <c r="E72" s="1" t="str" cm="1">
        <f t="array" ref="E72">_xlfn.IFS(
D72&lt;20,"Light",
D72&lt;50,"Medium",
D72&lt;100,"Heavy",
D72&gt;=100,"Very Heavy")</f>
        <v>Light</v>
      </c>
      <c r="F72" s="2">
        <v>17</v>
      </c>
      <c r="G72" s="2" t="str" cm="1">
        <f t="array" ref="G72">_xlfn.IFS(
F72&lt;50,"Small",
F72&lt;100,"Medium",
F72&lt;150,"Large",
F72&gt;=150,"Very Large"
)</f>
        <v>Small</v>
      </c>
      <c r="H72" s="2" t="s">
        <v>33</v>
      </c>
      <c r="K72" s="2" t="str">
        <f t="shared" si="5"/>
        <v>Missing Location</v>
      </c>
      <c r="L72" s="2" t="s">
        <v>10</v>
      </c>
      <c r="M72" s="3">
        <v>45353</v>
      </c>
      <c r="N72" s="3" t="str">
        <f t="shared" si="6"/>
        <v>March</v>
      </c>
      <c r="O72" s="2" t="s">
        <v>12</v>
      </c>
      <c r="P72" t="str">
        <f t="shared" si="7"/>
        <v>Needs Review</v>
      </c>
    </row>
    <row r="73" spans="1:16" x14ac:dyDescent="0.3">
      <c r="A73" s="2">
        <f t="shared" si="4"/>
        <v>72</v>
      </c>
      <c r="B73" s="2" t="s">
        <v>29</v>
      </c>
      <c r="C73" s="2" t="s">
        <v>11</v>
      </c>
      <c r="D73" s="1">
        <v>0.249</v>
      </c>
      <c r="E73" s="1" t="str" cm="1">
        <f t="array" ref="E73">_xlfn.IFS(
D73&lt;20,"Light",
D73&lt;50,"Medium",
D73&lt;100,"Heavy",
D73&gt;=100,"Very Heavy")</f>
        <v>Light</v>
      </c>
      <c r="F73" s="2">
        <v>19</v>
      </c>
      <c r="G73" s="2" t="str" cm="1">
        <f t="array" ref="G73">_xlfn.IFS(
F73&lt;50,"Small",
F73&lt;100,"Medium",
F73&lt;150,"Large",
F73&gt;=150,"Very Large"
)</f>
        <v>Small</v>
      </c>
      <c r="H73" s="2" t="s">
        <v>32</v>
      </c>
      <c r="K73" s="2" t="str">
        <f t="shared" si="5"/>
        <v>Missing Location</v>
      </c>
      <c r="L73" s="2" t="s">
        <v>10</v>
      </c>
      <c r="M73" s="3">
        <v>45353</v>
      </c>
      <c r="N73" s="3" t="str">
        <f t="shared" si="6"/>
        <v>March</v>
      </c>
      <c r="O73" s="2" t="s">
        <v>12</v>
      </c>
      <c r="P73" t="str">
        <f t="shared" si="7"/>
        <v>Needs Review</v>
      </c>
    </row>
    <row r="74" spans="1:16" x14ac:dyDescent="0.3">
      <c r="A74" s="2">
        <f t="shared" si="4"/>
        <v>73</v>
      </c>
      <c r="B74" s="2" t="s">
        <v>29</v>
      </c>
      <c r="C74" s="2" t="s">
        <v>11</v>
      </c>
      <c r="D74" s="1">
        <v>0.29799999999999999</v>
      </c>
      <c r="E74" s="1" t="str" cm="1">
        <f t="array" ref="E74">_xlfn.IFS(
D74&lt;20,"Light",
D74&lt;50,"Medium",
D74&lt;100,"Heavy",
D74&gt;=100,"Very Heavy")</f>
        <v>Light</v>
      </c>
      <c r="F74" s="2">
        <v>21</v>
      </c>
      <c r="G74" s="2" t="str" cm="1">
        <f t="array" ref="G74">_xlfn.IFS(
F74&lt;50,"Small",
F74&lt;100,"Medium",
F74&lt;150,"Large",
F74&gt;=150,"Very Large"
)</f>
        <v>Small</v>
      </c>
      <c r="H74" s="2" t="s">
        <v>32</v>
      </c>
      <c r="K74" s="2" t="str">
        <f t="shared" si="5"/>
        <v>Missing Location</v>
      </c>
      <c r="L74" s="2" t="s">
        <v>10</v>
      </c>
      <c r="M74" s="3">
        <v>45353</v>
      </c>
      <c r="N74" s="3" t="str">
        <f t="shared" si="6"/>
        <v>March</v>
      </c>
      <c r="O74" s="2" t="s">
        <v>12</v>
      </c>
      <c r="P74" t="str">
        <f t="shared" si="7"/>
        <v>Needs Review</v>
      </c>
    </row>
    <row r="75" spans="1:16" x14ac:dyDescent="0.3">
      <c r="A75" s="2">
        <f t="shared" si="4"/>
        <v>74</v>
      </c>
      <c r="B75" s="2" t="s">
        <v>29</v>
      </c>
      <c r="C75" s="2" t="s">
        <v>11</v>
      </c>
      <c r="D75" s="1">
        <v>0.314</v>
      </c>
      <c r="E75" s="1" t="str" cm="1">
        <f t="array" ref="E75">_xlfn.IFS(
D75&lt;20,"Light",
D75&lt;50,"Medium",
D75&lt;100,"Heavy",
D75&gt;=100,"Very Heavy")</f>
        <v>Light</v>
      </c>
      <c r="F75" s="2">
        <v>19</v>
      </c>
      <c r="G75" s="2" t="str" cm="1">
        <f t="array" ref="G75">_xlfn.IFS(
F75&lt;50,"Small",
F75&lt;100,"Medium",
F75&lt;150,"Large",
F75&gt;=150,"Very Large"
)</f>
        <v>Small</v>
      </c>
      <c r="H75" s="2" t="s">
        <v>33</v>
      </c>
      <c r="K75" s="2" t="str">
        <f t="shared" si="5"/>
        <v>Missing Location</v>
      </c>
      <c r="L75" s="2" t="s">
        <v>10</v>
      </c>
      <c r="M75" s="3">
        <v>45353</v>
      </c>
      <c r="N75" s="3" t="str">
        <f t="shared" si="6"/>
        <v>March</v>
      </c>
      <c r="O75" s="2" t="s">
        <v>12</v>
      </c>
      <c r="P75" t="str">
        <f t="shared" si="7"/>
        <v>Needs Review</v>
      </c>
    </row>
    <row r="76" spans="1:16" x14ac:dyDescent="0.3">
      <c r="A76" s="2">
        <f t="shared" si="4"/>
        <v>75</v>
      </c>
      <c r="B76" s="2" t="s">
        <v>29</v>
      </c>
      <c r="C76" s="2" t="s">
        <v>11</v>
      </c>
      <c r="D76" s="1">
        <v>0.251</v>
      </c>
      <c r="E76" s="1" t="str" cm="1">
        <f t="array" ref="E76">_xlfn.IFS(
D76&lt;20,"Light",
D76&lt;50,"Medium",
D76&lt;100,"Heavy",
D76&gt;=100,"Very Heavy")</f>
        <v>Light</v>
      </c>
      <c r="F76" s="2">
        <v>19</v>
      </c>
      <c r="G76" s="2" t="str" cm="1">
        <f t="array" ref="G76">_xlfn.IFS(
F76&lt;50,"Small",
F76&lt;100,"Medium",
F76&lt;150,"Large",
F76&gt;=150,"Very Large"
)</f>
        <v>Small</v>
      </c>
      <c r="H76" s="2" t="s">
        <v>32</v>
      </c>
      <c r="K76" s="2" t="str">
        <f t="shared" si="5"/>
        <v>Missing Location</v>
      </c>
      <c r="L76" s="2" t="s">
        <v>10</v>
      </c>
      <c r="M76" s="3">
        <v>45353</v>
      </c>
      <c r="N76" s="3" t="str">
        <f t="shared" si="6"/>
        <v>March</v>
      </c>
      <c r="O76" s="2" t="s">
        <v>12</v>
      </c>
      <c r="P76" t="str">
        <f t="shared" si="7"/>
        <v>Needs Review</v>
      </c>
    </row>
    <row r="77" spans="1:16" x14ac:dyDescent="0.3">
      <c r="A77" s="2">
        <f t="shared" si="4"/>
        <v>76</v>
      </c>
      <c r="B77" s="2" t="s">
        <v>29</v>
      </c>
      <c r="C77" s="2" t="s">
        <v>11</v>
      </c>
      <c r="D77" s="1">
        <v>0.29299999999999998</v>
      </c>
      <c r="E77" s="1" t="str" cm="1">
        <f t="array" ref="E77">_xlfn.IFS(
D77&lt;20,"Light",
D77&lt;50,"Medium",
D77&lt;100,"Heavy",
D77&gt;=100,"Very Heavy")</f>
        <v>Light</v>
      </c>
      <c r="F77" s="2">
        <v>20</v>
      </c>
      <c r="G77" s="2" t="str" cm="1">
        <f t="array" ref="G77">_xlfn.IFS(
F77&lt;50,"Small",
F77&lt;100,"Medium",
F77&lt;150,"Large",
F77&gt;=150,"Very Large"
)</f>
        <v>Small</v>
      </c>
      <c r="H77" s="2" t="s">
        <v>33</v>
      </c>
      <c r="K77" s="2" t="str">
        <f t="shared" si="5"/>
        <v>Missing Location</v>
      </c>
      <c r="L77" s="2" t="s">
        <v>10</v>
      </c>
      <c r="M77" s="3">
        <v>45353</v>
      </c>
      <c r="N77" s="3" t="str">
        <f t="shared" si="6"/>
        <v>March</v>
      </c>
      <c r="O77" s="2" t="s">
        <v>12</v>
      </c>
      <c r="P77" t="str">
        <f t="shared" si="7"/>
        <v>Needs Review</v>
      </c>
    </row>
    <row r="78" spans="1:16" x14ac:dyDescent="0.3">
      <c r="A78" s="2">
        <f t="shared" si="4"/>
        <v>77</v>
      </c>
      <c r="B78" s="2" t="s">
        <v>29</v>
      </c>
      <c r="C78" s="2" t="s">
        <v>11</v>
      </c>
      <c r="D78" s="1">
        <v>0.30099999999999999</v>
      </c>
      <c r="E78" s="1" t="str" cm="1">
        <f t="array" ref="E78">_xlfn.IFS(
D78&lt;20,"Light",
D78&lt;50,"Medium",
D78&lt;100,"Heavy",
D78&gt;=100,"Very Heavy")</f>
        <v>Light</v>
      </c>
      <c r="F78" s="2">
        <v>20</v>
      </c>
      <c r="G78" s="2" t="str" cm="1">
        <f t="array" ref="G78">_xlfn.IFS(
F78&lt;50,"Small",
F78&lt;100,"Medium",
F78&lt;150,"Large",
F78&gt;=150,"Very Large"
)</f>
        <v>Small</v>
      </c>
      <c r="H78" s="2" t="s">
        <v>32</v>
      </c>
      <c r="K78" s="2" t="str">
        <f t="shared" si="5"/>
        <v>Missing Location</v>
      </c>
      <c r="L78" s="2" t="s">
        <v>10</v>
      </c>
      <c r="M78" s="3">
        <v>45353</v>
      </c>
      <c r="N78" s="3" t="str">
        <f t="shared" si="6"/>
        <v>March</v>
      </c>
      <c r="O78" s="2" t="s">
        <v>12</v>
      </c>
      <c r="P78" t="str">
        <f t="shared" si="7"/>
        <v>Needs Review</v>
      </c>
    </row>
    <row r="79" spans="1:16" x14ac:dyDescent="0.3">
      <c r="A79" s="2">
        <f t="shared" si="4"/>
        <v>78</v>
      </c>
      <c r="B79" s="2" t="s">
        <v>29</v>
      </c>
      <c r="C79" s="2" t="s">
        <v>11</v>
      </c>
      <c r="D79" s="1">
        <v>0.27100000000000002</v>
      </c>
      <c r="E79" s="1" t="str" cm="1">
        <f t="array" ref="E79">_xlfn.IFS(
D79&lt;20,"Light",
D79&lt;50,"Medium",
D79&lt;100,"Heavy",
D79&gt;=100,"Very Heavy")</f>
        <v>Light</v>
      </c>
      <c r="F79" s="2">
        <v>17</v>
      </c>
      <c r="G79" s="2" t="str" cm="1">
        <f t="array" ref="G79">_xlfn.IFS(
F79&lt;50,"Small",
F79&lt;100,"Medium",
F79&lt;150,"Large",
F79&gt;=150,"Very Large"
)</f>
        <v>Small</v>
      </c>
      <c r="H79" s="2" t="s">
        <v>32</v>
      </c>
      <c r="K79" s="2" t="str">
        <f t="shared" si="5"/>
        <v>Missing Location</v>
      </c>
      <c r="L79" s="2" t="s">
        <v>10</v>
      </c>
      <c r="M79" s="3">
        <v>45353</v>
      </c>
      <c r="N79" s="3" t="str">
        <f t="shared" si="6"/>
        <v>March</v>
      </c>
      <c r="O79" s="2" t="s">
        <v>12</v>
      </c>
      <c r="P79" t="str">
        <f t="shared" si="7"/>
        <v>Needs Review</v>
      </c>
    </row>
    <row r="80" spans="1:16" x14ac:dyDescent="0.3">
      <c r="A80" s="2">
        <f t="shared" si="4"/>
        <v>79</v>
      </c>
      <c r="B80" s="2" t="s">
        <v>29</v>
      </c>
      <c r="C80" s="2" t="s">
        <v>11</v>
      </c>
      <c r="D80" s="1">
        <v>0.27500000000000002</v>
      </c>
      <c r="E80" s="1" t="str" cm="1">
        <f t="array" ref="E80">_xlfn.IFS(
D80&lt;20,"Light",
D80&lt;50,"Medium",
D80&lt;100,"Heavy",
D80&gt;=100,"Very Heavy")</f>
        <v>Light</v>
      </c>
      <c r="F80" s="2">
        <v>20</v>
      </c>
      <c r="G80" s="2" t="str" cm="1">
        <f t="array" ref="G80">_xlfn.IFS(
F80&lt;50,"Small",
F80&lt;100,"Medium",
F80&lt;150,"Large",
F80&gt;=150,"Very Large"
)</f>
        <v>Small</v>
      </c>
      <c r="H80" s="2" t="s">
        <v>32</v>
      </c>
      <c r="K80" s="2" t="str">
        <f t="shared" si="5"/>
        <v>Missing Location</v>
      </c>
      <c r="L80" s="2" t="s">
        <v>10</v>
      </c>
      <c r="M80" s="3">
        <v>45353</v>
      </c>
      <c r="N80" s="3" t="str">
        <f t="shared" si="6"/>
        <v>March</v>
      </c>
      <c r="O80" s="2" t="s">
        <v>12</v>
      </c>
      <c r="P80" t="str">
        <f t="shared" si="7"/>
        <v>Needs Review</v>
      </c>
    </row>
    <row r="81" spans="1:16" x14ac:dyDescent="0.3">
      <c r="A81" s="2">
        <f t="shared" si="4"/>
        <v>80</v>
      </c>
      <c r="B81" s="2" t="s">
        <v>29</v>
      </c>
      <c r="C81" s="2" t="s">
        <v>11</v>
      </c>
      <c r="D81" s="1">
        <v>0.30399999999999999</v>
      </c>
      <c r="E81" s="1" t="str" cm="1">
        <f t="array" ref="E81">_xlfn.IFS(
D81&lt;20,"Light",
D81&lt;50,"Medium",
D81&lt;100,"Heavy",
D81&gt;=100,"Very Heavy")</f>
        <v>Light</v>
      </c>
      <c r="F81" s="2">
        <v>21</v>
      </c>
      <c r="G81" s="2" t="str" cm="1">
        <f t="array" ref="G81">_xlfn.IFS(
F81&lt;50,"Small",
F81&lt;100,"Medium",
F81&lt;150,"Large",
F81&gt;=150,"Very Large"
)</f>
        <v>Small</v>
      </c>
      <c r="H81" s="2" t="s">
        <v>32</v>
      </c>
      <c r="K81" s="2" t="str">
        <f t="shared" si="5"/>
        <v>Missing Location</v>
      </c>
      <c r="L81" s="2" t="s">
        <v>10</v>
      </c>
      <c r="M81" s="3">
        <v>45353</v>
      </c>
      <c r="N81" s="3" t="str">
        <f t="shared" si="6"/>
        <v>March</v>
      </c>
      <c r="O81" s="2" t="s">
        <v>12</v>
      </c>
      <c r="P81" t="str">
        <f t="shared" si="7"/>
        <v>Needs Review</v>
      </c>
    </row>
    <row r="82" spans="1:16" x14ac:dyDescent="0.3">
      <c r="A82" s="2">
        <f t="shared" si="4"/>
        <v>81</v>
      </c>
      <c r="B82" s="2" t="s">
        <v>29</v>
      </c>
      <c r="C82" s="2" t="s">
        <v>11</v>
      </c>
      <c r="D82" s="1">
        <v>0.308</v>
      </c>
      <c r="E82" s="1" t="str" cm="1">
        <f t="array" ref="E82">_xlfn.IFS(
D82&lt;20,"Light",
D82&lt;50,"Medium",
D82&lt;100,"Heavy",
D82&gt;=100,"Very Heavy")</f>
        <v>Light</v>
      </c>
      <c r="F82" s="2">
        <v>20</v>
      </c>
      <c r="G82" s="2" t="str" cm="1">
        <f t="array" ref="G82">_xlfn.IFS(
F82&lt;50,"Small",
F82&lt;100,"Medium",
F82&lt;150,"Large",
F82&gt;=150,"Very Large"
)</f>
        <v>Small</v>
      </c>
      <c r="H82" s="2" t="s">
        <v>32</v>
      </c>
      <c r="K82" s="2" t="str">
        <f t="shared" si="5"/>
        <v>Missing Location</v>
      </c>
      <c r="L82" s="2" t="s">
        <v>10</v>
      </c>
      <c r="M82" s="3">
        <v>45353</v>
      </c>
      <c r="N82" s="3" t="str">
        <f t="shared" si="6"/>
        <v>March</v>
      </c>
      <c r="O82" s="2" t="s">
        <v>12</v>
      </c>
      <c r="P82" t="str">
        <f t="shared" si="7"/>
        <v>Needs Review</v>
      </c>
    </row>
    <row r="83" spans="1:16" x14ac:dyDescent="0.3">
      <c r="A83" s="2">
        <f t="shared" si="4"/>
        <v>82</v>
      </c>
      <c r="B83" s="2" t="s">
        <v>29</v>
      </c>
      <c r="C83" s="2" t="s">
        <v>11</v>
      </c>
      <c r="D83" s="1">
        <v>0.24</v>
      </c>
      <c r="E83" s="1" t="str" cm="1">
        <f t="array" ref="E83">_xlfn.IFS(
D83&lt;20,"Light",
D83&lt;50,"Medium",
D83&lt;100,"Heavy",
D83&gt;=100,"Very Heavy")</f>
        <v>Light</v>
      </c>
      <c r="F83" s="2">
        <v>21</v>
      </c>
      <c r="G83" s="2" t="str" cm="1">
        <f t="array" ref="G83">_xlfn.IFS(
F83&lt;50,"Small",
F83&lt;100,"Medium",
F83&lt;150,"Large",
F83&gt;=150,"Very Large"
)</f>
        <v>Small</v>
      </c>
      <c r="H83" s="2" t="s">
        <v>32</v>
      </c>
      <c r="K83" s="2" t="str">
        <f t="shared" si="5"/>
        <v>Missing Location</v>
      </c>
      <c r="L83" s="2" t="s">
        <v>10</v>
      </c>
      <c r="M83" s="3">
        <v>45353</v>
      </c>
      <c r="N83" s="3" t="str">
        <f t="shared" si="6"/>
        <v>March</v>
      </c>
      <c r="O83" s="2" t="s">
        <v>12</v>
      </c>
      <c r="P83" t="str">
        <f t="shared" si="7"/>
        <v>Needs Review</v>
      </c>
    </row>
    <row r="84" spans="1:16" x14ac:dyDescent="0.3">
      <c r="A84" s="2">
        <f t="shared" si="4"/>
        <v>83</v>
      </c>
      <c r="B84" s="2" t="s">
        <v>27</v>
      </c>
      <c r="C84" s="2" t="s">
        <v>15</v>
      </c>
      <c r="D84" s="1">
        <v>402</v>
      </c>
      <c r="E84" s="1" t="str" cm="1">
        <f t="array" ref="E84">_xlfn.IFS(
D84&lt;20,"Light",
D84&lt;50,"Medium",
D84&lt;100,"Heavy",
D84&gt;=100,"Very Heavy")</f>
        <v>Very Heavy</v>
      </c>
      <c r="F84" s="2">
        <v>162</v>
      </c>
      <c r="G84" s="2" t="str" cm="1">
        <f t="array" ref="G84">_xlfn.IFS(
F84&lt;50,"Small",
F84&lt;100,"Medium",
F84&lt;150,"Large",
F84&gt;=150,"Very Large"
)</f>
        <v>Very Large</v>
      </c>
      <c r="H84" s="2" t="s">
        <v>33</v>
      </c>
      <c r="I84" s="2">
        <v>50.641007999999999</v>
      </c>
      <c r="J84" s="2">
        <v>14.836529000000001</v>
      </c>
      <c r="K84" s="2" t="str">
        <f t="shared" si="5"/>
        <v>Available</v>
      </c>
      <c r="L84" s="2" t="s">
        <v>10</v>
      </c>
      <c r="M84" s="3">
        <v>45353</v>
      </c>
      <c r="N84" s="3" t="str">
        <f t="shared" si="6"/>
        <v>March</v>
      </c>
      <c r="O84" s="2" t="s">
        <v>14</v>
      </c>
      <c r="P84" t="str">
        <f t="shared" si="7"/>
        <v>OK</v>
      </c>
    </row>
    <row r="85" spans="1:16" x14ac:dyDescent="0.3">
      <c r="A85" s="2">
        <f t="shared" si="4"/>
        <v>84</v>
      </c>
      <c r="B85" s="2" t="s">
        <v>27</v>
      </c>
      <c r="C85" s="2" t="s">
        <v>15</v>
      </c>
      <c r="D85" s="1">
        <v>535</v>
      </c>
      <c r="E85" s="1" t="str" cm="1">
        <f t="array" ref="E85">_xlfn.IFS(
D85&lt;20,"Light",
D85&lt;50,"Medium",
D85&lt;100,"Heavy",
D85&gt;=100,"Very Heavy")</f>
        <v>Very Heavy</v>
      </c>
      <c r="F85" s="2">
        <v>295</v>
      </c>
      <c r="G85" s="2" t="str" cm="1">
        <f t="array" ref="G85">_xlfn.IFS(
F85&lt;50,"Small",
F85&lt;100,"Medium",
F85&lt;150,"Large",
F85&gt;=150,"Very Large"
)</f>
        <v>Very Large</v>
      </c>
      <c r="H85" s="2" t="s">
        <v>32</v>
      </c>
      <c r="I85" s="2">
        <v>50.643405999999999</v>
      </c>
      <c r="J85" s="2">
        <v>14.836494999999999</v>
      </c>
      <c r="K85" s="2" t="str">
        <f t="shared" si="5"/>
        <v>Available</v>
      </c>
      <c r="L85" s="2" t="s">
        <v>10</v>
      </c>
      <c r="M85" s="3">
        <v>45353</v>
      </c>
      <c r="N85" s="3" t="str">
        <f t="shared" si="6"/>
        <v>March</v>
      </c>
      <c r="O85" s="2" t="s">
        <v>14</v>
      </c>
      <c r="P85" t="str">
        <f t="shared" si="7"/>
        <v>OK</v>
      </c>
    </row>
    <row r="86" spans="1:16" x14ac:dyDescent="0.3">
      <c r="A86" s="2">
        <f t="shared" si="4"/>
        <v>85</v>
      </c>
      <c r="B86" s="2" t="s">
        <v>27</v>
      </c>
      <c r="C86" s="2" t="s">
        <v>15</v>
      </c>
      <c r="D86" s="1">
        <v>572</v>
      </c>
      <c r="E86" s="1" t="str" cm="1">
        <f t="array" ref="E86">_xlfn.IFS(
D86&lt;20,"Light",
D86&lt;50,"Medium",
D86&lt;100,"Heavy",
D86&gt;=100,"Very Heavy")</f>
        <v>Very Heavy</v>
      </c>
      <c r="F86" s="2">
        <v>251</v>
      </c>
      <c r="G86" s="2" t="str" cm="1">
        <f t="array" ref="G86">_xlfn.IFS(
F86&lt;50,"Small",
F86&lt;100,"Medium",
F86&lt;150,"Large",
F86&gt;=150,"Very Large"
)</f>
        <v>Very Large</v>
      </c>
      <c r="H86" s="2" t="s">
        <v>33</v>
      </c>
      <c r="I86" s="2">
        <v>50.638945</v>
      </c>
      <c r="J86" s="2">
        <v>14.845452</v>
      </c>
      <c r="K86" s="2" t="str">
        <f t="shared" si="5"/>
        <v>Available</v>
      </c>
      <c r="L86" s="2" t="s">
        <v>10</v>
      </c>
      <c r="M86" s="3">
        <v>45353</v>
      </c>
      <c r="N86" s="3" t="str">
        <f t="shared" si="6"/>
        <v>March</v>
      </c>
      <c r="O86" s="2" t="s">
        <v>14</v>
      </c>
      <c r="P86" t="str">
        <f t="shared" si="7"/>
        <v>OK</v>
      </c>
    </row>
    <row r="87" spans="1:16" x14ac:dyDescent="0.3">
      <c r="A87" s="2">
        <f t="shared" si="4"/>
        <v>86</v>
      </c>
      <c r="B87" s="2" t="s">
        <v>30</v>
      </c>
      <c r="C87" s="2" t="s">
        <v>15</v>
      </c>
      <c r="D87" s="1">
        <v>0.9</v>
      </c>
      <c r="E87" s="1" t="str" cm="1">
        <f t="array" ref="E87">_xlfn.IFS(
D87&lt;20,"Light",
D87&lt;50,"Medium",
D87&lt;100,"Heavy",
D87&gt;=100,"Very Heavy")</f>
        <v>Light</v>
      </c>
      <c r="F87" s="2">
        <v>20</v>
      </c>
      <c r="G87" s="2" t="str" cm="1">
        <f t="array" ref="G87">_xlfn.IFS(
F87&lt;50,"Small",
F87&lt;100,"Medium",
F87&lt;150,"Large",
F87&gt;=150,"Very Large"
)</f>
        <v>Small</v>
      </c>
      <c r="H87" s="2" t="s">
        <v>33</v>
      </c>
      <c r="I87" s="2">
        <v>50.639868999999997</v>
      </c>
      <c r="J87" s="2">
        <v>14.849702000000001</v>
      </c>
      <c r="K87" s="2" t="str">
        <f t="shared" si="5"/>
        <v>Available</v>
      </c>
      <c r="L87" s="2" t="s">
        <v>10</v>
      </c>
      <c r="M87" s="3">
        <v>45353</v>
      </c>
      <c r="N87" s="3" t="str">
        <f t="shared" si="6"/>
        <v>March</v>
      </c>
      <c r="O87" s="2" t="s">
        <v>14</v>
      </c>
      <c r="P87" t="str">
        <f t="shared" si="7"/>
        <v>OK</v>
      </c>
    </row>
    <row r="88" spans="1:16" x14ac:dyDescent="0.3">
      <c r="A88" s="2">
        <f t="shared" si="4"/>
        <v>87</v>
      </c>
      <c r="B88" s="2" t="s">
        <v>30</v>
      </c>
      <c r="C88" s="2" t="s">
        <v>15</v>
      </c>
      <c r="D88" s="1">
        <v>0.7</v>
      </c>
      <c r="E88" s="1" t="str" cm="1">
        <f t="array" ref="E88">_xlfn.IFS(
D88&lt;20,"Light",
D88&lt;50,"Medium",
D88&lt;100,"Heavy",
D88&gt;=100,"Very Heavy")</f>
        <v>Light</v>
      </c>
      <c r="F88" s="2">
        <v>16</v>
      </c>
      <c r="G88" s="2" t="str" cm="1">
        <f t="array" ref="G88">_xlfn.IFS(
F88&lt;50,"Small",
F88&lt;100,"Medium",
F88&lt;150,"Large",
F88&gt;=150,"Very Large"
)</f>
        <v>Small</v>
      </c>
      <c r="H88" s="2" t="s">
        <v>33</v>
      </c>
      <c r="I88" s="2">
        <v>50.643039000000002</v>
      </c>
      <c r="J88" s="2">
        <v>14.840662</v>
      </c>
      <c r="K88" s="2" t="str">
        <f t="shared" si="5"/>
        <v>Available</v>
      </c>
      <c r="L88" s="2" t="s">
        <v>10</v>
      </c>
      <c r="M88" s="3">
        <v>45353</v>
      </c>
      <c r="N88" s="3" t="str">
        <f t="shared" si="6"/>
        <v>March</v>
      </c>
      <c r="O88" s="2" t="s">
        <v>14</v>
      </c>
      <c r="P88" t="str">
        <f t="shared" si="7"/>
        <v>OK</v>
      </c>
    </row>
    <row r="89" spans="1:16" x14ac:dyDescent="0.3">
      <c r="A89" s="2">
        <f t="shared" si="4"/>
        <v>88</v>
      </c>
      <c r="B89" s="2" t="s">
        <v>30</v>
      </c>
      <c r="C89" s="2" t="s">
        <v>15</v>
      </c>
      <c r="D89" s="1">
        <v>0.7</v>
      </c>
      <c r="E89" s="1" t="str" cm="1">
        <f t="array" ref="E89">_xlfn.IFS(
D89&lt;20,"Light",
D89&lt;50,"Medium",
D89&lt;100,"Heavy",
D89&gt;=100,"Very Heavy")</f>
        <v>Light</v>
      </c>
      <c r="F89" s="2">
        <v>14</v>
      </c>
      <c r="G89" s="2" t="str" cm="1">
        <f t="array" ref="G89">_xlfn.IFS(
F89&lt;50,"Small",
F89&lt;100,"Medium",
F89&lt;150,"Large",
F89&gt;=150,"Very Large"
)</f>
        <v>Small</v>
      </c>
      <c r="H89" s="2" t="s">
        <v>33</v>
      </c>
      <c r="I89" s="2">
        <v>50.637878999999998</v>
      </c>
      <c r="J89" s="2">
        <v>14.838429</v>
      </c>
      <c r="K89" s="2" t="str">
        <f t="shared" si="5"/>
        <v>Available</v>
      </c>
      <c r="L89" s="2" t="s">
        <v>10</v>
      </c>
      <c r="M89" s="3">
        <v>45353</v>
      </c>
      <c r="N89" s="3" t="str">
        <f t="shared" si="6"/>
        <v>March</v>
      </c>
      <c r="O89" s="2" t="s">
        <v>14</v>
      </c>
      <c r="P89" t="str">
        <f t="shared" si="7"/>
        <v>OK</v>
      </c>
    </row>
    <row r="90" spans="1:16" x14ac:dyDescent="0.3">
      <c r="A90" s="2">
        <f t="shared" si="4"/>
        <v>89</v>
      </c>
      <c r="B90" s="2" t="s">
        <v>30</v>
      </c>
      <c r="C90" s="2" t="s">
        <v>15</v>
      </c>
      <c r="D90" s="1">
        <v>1.1000000000000001</v>
      </c>
      <c r="E90" s="1" t="str" cm="1">
        <f t="array" ref="E90">_xlfn.IFS(
D90&lt;20,"Light",
D90&lt;50,"Medium",
D90&lt;100,"Heavy",
D90&gt;=100,"Very Heavy")</f>
        <v>Light</v>
      </c>
      <c r="F90" s="2">
        <v>32</v>
      </c>
      <c r="G90" s="2" t="str" cm="1">
        <f t="array" ref="G90">_xlfn.IFS(
F90&lt;50,"Small",
F90&lt;100,"Medium",
F90&lt;150,"Large",
F90&gt;=150,"Very Large"
)</f>
        <v>Small</v>
      </c>
      <c r="H90" s="2" t="s">
        <v>32</v>
      </c>
      <c r="I90" s="2">
        <v>50.643253999999999</v>
      </c>
      <c r="J90" s="2">
        <v>14.843730000000001</v>
      </c>
      <c r="K90" s="2" t="str">
        <f t="shared" si="5"/>
        <v>Available</v>
      </c>
      <c r="L90" s="2" t="s">
        <v>10</v>
      </c>
      <c r="M90" s="3">
        <v>45353</v>
      </c>
      <c r="N90" s="3" t="str">
        <f t="shared" si="6"/>
        <v>March</v>
      </c>
      <c r="O90" s="2" t="s">
        <v>14</v>
      </c>
      <c r="P90" t="str">
        <f t="shared" si="7"/>
        <v>OK</v>
      </c>
    </row>
    <row r="91" spans="1:16" x14ac:dyDescent="0.3">
      <c r="A91" s="2">
        <f t="shared" si="4"/>
        <v>90</v>
      </c>
      <c r="B91" s="2" t="s">
        <v>30</v>
      </c>
      <c r="C91" s="2" t="s">
        <v>15</v>
      </c>
      <c r="D91" s="1">
        <v>0.5</v>
      </c>
      <c r="E91" s="1" t="str" cm="1">
        <f t="array" ref="E91">_xlfn.IFS(
D91&lt;20,"Light",
D91&lt;50,"Medium",
D91&lt;100,"Heavy",
D91&gt;=100,"Very Heavy")</f>
        <v>Light</v>
      </c>
      <c r="F91" s="2">
        <v>20</v>
      </c>
      <c r="G91" s="2" t="str" cm="1">
        <f t="array" ref="G91">_xlfn.IFS(
F91&lt;50,"Small",
F91&lt;100,"Medium",
F91&lt;150,"Large",
F91&gt;=150,"Very Large"
)</f>
        <v>Small</v>
      </c>
      <c r="H91" s="2" t="s">
        <v>32</v>
      </c>
      <c r="I91" s="2">
        <v>50.643853999999997</v>
      </c>
      <c r="J91" s="2">
        <v>14.837154999999999</v>
      </c>
      <c r="K91" s="2" t="str">
        <f t="shared" si="5"/>
        <v>Available</v>
      </c>
      <c r="L91" s="2" t="s">
        <v>10</v>
      </c>
      <c r="M91" s="3">
        <v>45353</v>
      </c>
      <c r="N91" s="3" t="str">
        <f t="shared" si="6"/>
        <v>March</v>
      </c>
      <c r="O91" s="2" t="s">
        <v>14</v>
      </c>
      <c r="P91" t="str">
        <f t="shared" si="7"/>
        <v>OK</v>
      </c>
    </row>
    <row r="92" spans="1:16" x14ac:dyDescent="0.3">
      <c r="A92" s="2">
        <f t="shared" si="4"/>
        <v>91</v>
      </c>
      <c r="B92" s="2" t="s">
        <v>30</v>
      </c>
      <c r="C92" s="2" t="s">
        <v>15</v>
      </c>
      <c r="D92" s="1">
        <v>1.1000000000000001</v>
      </c>
      <c r="E92" s="1" t="str" cm="1">
        <f t="array" ref="E92">_xlfn.IFS(
D92&lt;20,"Light",
D92&lt;50,"Medium",
D92&lt;100,"Heavy",
D92&gt;=100,"Very Heavy")</f>
        <v>Light</v>
      </c>
      <c r="F92" s="2">
        <v>22</v>
      </c>
      <c r="G92" s="2" t="str" cm="1">
        <f t="array" ref="G92">_xlfn.IFS(
F92&lt;50,"Small",
F92&lt;100,"Medium",
F92&lt;150,"Large",
F92&gt;=150,"Very Large"
)</f>
        <v>Small</v>
      </c>
      <c r="H92" s="2" t="s">
        <v>33</v>
      </c>
      <c r="I92" s="2">
        <v>50.635584000000001</v>
      </c>
      <c r="J92" s="2">
        <v>14.837071999999999</v>
      </c>
      <c r="K92" s="2" t="str">
        <f t="shared" si="5"/>
        <v>Available</v>
      </c>
      <c r="L92" s="2" t="s">
        <v>10</v>
      </c>
      <c r="M92" s="3">
        <v>45353</v>
      </c>
      <c r="N92" s="3" t="str">
        <f t="shared" si="6"/>
        <v>March</v>
      </c>
      <c r="O92" s="2" t="s">
        <v>14</v>
      </c>
      <c r="P92" t="str">
        <f t="shared" si="7"/>
        <v>OK</v>
      </c>
    </row>
    <row r="93" spans="1:16" x14ac:dyDescent="0.3">
      <c r="A93" s="2">
        <f t="shared" si="4"/>
        <v>92</v>
      </c>
      <c r="B93" s="2" t="s">
        <v>30</v>
      </c>
      <c r="C93" s="2" t="s">
        <v>15</v>
      </c>
      <c r="D93" s="1">
        <v>1</v>
      </c>
      <c r="E93" s="1" t="str" cm="1">
        <f t="array" ref="E93">_xlfn.IFS(
D93&lt;20,"Light",
D93&lt;50,"Medium",
D93&lt;100,"Heavy",
D93&gt;=100,"Very Heavy")</f>
        <v>Light</v>
      </c>
      <c r="F93" s="2">
        <v>20</v>
      </c>
      <c r="G93" s="2" t="str" cm="1">
        <f t="array" ref="G93">_xlfn.IFS(
F93&lt;50,"Small",
F93&lt;100,"Medium",
F93&lt;150,"Large",
F93&gt;=150,"Very Large"
)</f>
        <v>Small</v>
      </c>
      <c r="H93" s="2" t="s">
        <v>33</v>
      </c>
      <c r="I93" s="2">
        <v>50.642722999999997</v>
      </c>
      <c r="J93" s="2">
        <v>14.837229000000001</v>
      </c>
      <c r="K93" s="2" t="str">
        <f t="shared" si="5"/>
        <v>Available</v>
      </c>
      <c r="L93" s="2" t="s">
        <v>10</v>
      </c>
      <c r="M93" s="3">
        <v>45353</v>
      </c>
      <c r="N93" s="3" t="str">
        <f t="shared" si="6"/>
        <v>March</v>
      </c>
      <c r="O93" s="2" t="s">
        <v>14</v>
      </c>
      <c r="P93" t="str">
        <f t="shared" si="7"/>
        <v>OK</v>
      </c>
    </row>
    <row r="94" spans="1:16" x14ac:dyDescent="0.3">
      <c r="A94" s="2">
        <f t="shared" si="4"/>
        <v>93</v>
      </c>
      <c r="B94" s="2" t="s">
        <v>30</v>
      </c>
      <c r="C94" s="2" t="s">
        <v>15</v>
      </c>
      <c r="D94" s="1">
        <v>0.7</v>
      </c>
      <c r="E94" s="1" t="str" cm="1">
        <f t="array" ref="E94">_xlfn.IFS(
D94&lt;20,"Light",
D94&lt;50,"Medium",
D94&lt;100,"Heavy",
D94&gt;=100,"Very Heavy")</f>
        <v>Light</v>
      </c>
      <c r="F94" s="2">
        <v>13</v>
      </c>
      <c r="G94" s="2" t="str" cm="1">
        <f t="array" ref="G94">_xlfn.IFS(
F94&lt;50,"Small",
F94&lt;100,"Medium",
F94&lt;150,"Large",
F94&gt;=150,"Very Large"
)</f>
        <v>Small</v>
      </c>
      <c r="H94" s="2" t="s">
        <v>33</v>
      </c>
      <c r="I94" s="2">
        <v>50.639389000000001</v>
      </c>
      <c r="J94" s="2">
        <v>14.8444</v>
      </c>
      <c r="K94" s="2" t="str">
        <f t="shared" si="5"/>
        <v>Available</v>
      </c>
      <c r="L94" s="2" t="s">
        <v>10</v>
      </c>
      <c r="M94" s="3">
        <v>45353</v>
      </c>
      <c r="N94" s="3" t="str">
        <f t="shared" si="6"/>
        <v>March</v>
      </c>
      <c r="O94" s="2" t="s">
        <v>14</v>
      </c>
      <c r="P94" t="str">
        <f t="shared" si="7"/>
        <v>OK</v>
      </c>
    </row>
    <row r="95" spans="1:16" x14ac:dyDescent="0.3">
      <c r="A95" s="2">
        <f t="shared" si="4"/>
        <v>94</v>
      </c>
      <c r="B95" s="2" t="s">
        <v>28</v>
      </c>
      <c r="C95" s="2" t="s">
        <v>13</v>
      </c>
      <c r="D95" s="1">
        <v>30</v>
      </c>
      <c r="E95" s="1" t="str" cm="1">
        <f t="array" ref="E95">_xlfn.IFS(
D95&lt;20,"Light",
D95&lt;50,"Medium",
D95&lt;100,"Heavy",
D95&gt;=100,"Very Heavy")</f>
        <v>Medium</v>
      </c>
      <c r="F95" s="2">
        <v>120</v>
      </c>
      <c r="G95" s="2" t="str" cm="1">
        <f t="array" ref="G95">_xlfn.IFS(
F95&lt;50,"Small",
F95&lt;100,"Medium",
F95&lt;150,"Large",
F95&gt;=150,"Very Large"
)</f>
        <v>Large</v>
      </c>
      <c r="H95" s="2" t="s">
        <v>32</v>
      </c>
      <c r="I95" s="2">
        <v>48.409308000000003</v>
      </c>
      <c r="J95" s="2">
        <v>18.832605999999998</v>
      </c>
      <c r="K95" s="2" t="str">
        <f t="shared" si="5"/>
        <v>Available</v>
      </c>
      <c r="L95" s="2" t="s">
        <v>10</v>
      </c>
      <c r="M95" s="3">
        <v>45353</v>
      </c>
      <c r="N95" s="3" t="str">
        <f t="shared" si="6"/>
        <v>March</v>
      </c>
      <c r="O95" s="2" t="s">
        <v>14</v>
      </c>
      <c r="P95" t="str">
        <f t="shared" si="7"/>
        <v>OK</v>
      </c>
    </row>
    <row r="96" spans="1:16" x14ac:dyDescent="0.3">
      <c r="A96" s="2">
        <f t="shared" si="4"/>
        <v>95</v>
      </c>
      <c r="B96" s="2" t="s">
        <v>29</v>
      </c>
      <c r="C96" s="2" t="s">
        <v>7</v>
      </c>
      <c r="D96" s="1">
        <v>0.26200000000000001</v>
      </c>
      <c r="E96" s="1" t="str" cm="1">
        <f t="array" ref="E96">_xlfn.IFS(
D96&lt;20,"Light",
D96&lt;50,"Medium",
D96&lt;100,"Heavy",
D96&gt;=100,"Very Heavy")</f>
        <v>Light</v>
      </c>
      <c r="F96" s="2">
        <v>20</v>
      </c>
      <c r="G96" s="2" t="str" cm="1">
        <f t="array" ref="G96">_xlfn.IFS(
F96&lt;50,"Small",
F96&lt;100,"Medium",
F96&lt;150,"Large",
F96&gt;=150,"Very Large"
)</f>
        <v>Small</v>
      </c>
      <c r="H96" s="2" t="s">
        <v>33</v>
      </c>
      <c r="I96" s="2">
        <v>47.510798999999999</v>
      </c>
      <c r="J96" s="2">
        <v>18.945582999999999</v>
      </c>
      <c r="K96" s="2" t="str">
        <f t="shared" si="5"/>
        <v>Available</v>
      </c>
      <c r="L96" s="2" t="s">
        <v>10</v>
      </c>
      <c r="M96" s="3">
        <v>45354</v>
      </c>
      <c r="N96" s="3" t="str">
        <f t="shared" si="6"/>
        <v>March</v>
      </c>
      <c r="O96" s="2" t="s">
        <v>6</v>
      </c>
      <c r="P96" t="str">
        <f t="shared" si="7"/>
        <v>OK</v>
      </c>
    </row>
    <row r="97" spans="1:16" x14ac:dyDescent="0.3">
      <c r="A97" s="2">
        <f t="shared" si="4"/>
        <v>96</v>
      </c>
      <c r="B97" s="2" t="s">
        <v>30</v>
      </c>
      <c r="C97" s="2" t="s">
        <v>15</v>
      </c>
      <c r="D97" s="1">
        <v>0.6</v>
      </c>
      <c r="E97" s="1" t="str" cm="1">
        <f t="array" ref="E97">_xlfn.IFS(
D97&lt;20,"Light",
D97&lt;50,"Medium",
D97&lt;100,"Heavy",
D97&gt;=100,"Very Heavy")</f>
        <v>Light</v>
      </c>
      <c r="F97" s="2">
        <v>20</v>
      </c>
      <c r="G97" s="2" t="str" cm="1">
        <f t="array" ref="G97">_xlfn.IFS(
F97&lt;50,"Small",
F97&lt;100,"Medium",
F97&lt;150,"Large",
F97&gt;=150,"Very Large"
)</f>
        <v>Small</v>
      </c>
      <c r="H97" s="2" t="s">
        <v>32</v>
      </c>
      <c r="I97" s="2">
        <v>50.637374999999999</v>
      </c>
      <c r="J97" s="2">
        <v>14.839784999999999</v>
      </c>
      <c r="K97" s="2" t="str">
        <f t="shared" si="5"/>
        <v>Available</v>
      </c>
      <c r="L97" s="2" t="s">
        <v>10</v>
      </c>
      <c r="M97" s="3">
        <v>45354</v>
      </c>
      <c r="N97" s="3" t="str">
        <f t="shared" si="6"/>
        <v>March</v>
      </c>
      <c r="O97" s="2" t="s">
        <v>14</v>
      </c>
      <c r="P97" t="str">
        <f t="shared" si="7"/>
        <v>OK</v>
      </c>
    </row>
    <row r="98" spans="1:16" x14ac:dyDescent="0.3">
      <c r="A98" s="2">
        <f t="shared" si="4"/>
        <v>97</v>
      </c>
      <c r="B98" s="2" t="s">
        <v>28</v>
      </c>
      <c r="C98" s="2" t="s">
        <v>13</v>
      </c>
      <c r="D98" s="1">
        <v>28</v>
      </c>
      <c r="E98" s="1" t="str" cm="1">
        <f t="array" ref="E98">_xlfn.IFS(
D98&lt;20,"Light",
D98&lt;50,"Medium",
D98&lt;100,"Heavy",
D98&gt;=100,"Very Heavy")</f>
        <v>Medium</v>
      </c>
      <c r="F98" s="2">
        <v>131</v>
      </c>
      <c r="G98" s="2" t="str" cm="1">
        <f t="array" ref="G98">_xlfn.IFS(
F98&lt;50,"Small",
F98&lt;100,"Medium",
F98&lt;150,"Large",
F98&gt;=150,"Very Large"
)</f>
        <v>Large</v>
      </c>
      <c r="H98" s="2" t="s">
        <v>32</v>
      </c>
      <c r="I98" s="2">
        <v>48.406303999999999</v>
      </c>
      <c r="J98" s="2">
        <v>18.842851</v>
      </c>
      <c r="K98" s="2" t="str">
        <f t="shared" si="5"/>
        <v>Available</v>
      </c>
      <c r="L98" s="2" t="s">
        <v>10</v>
      </c>
      <c r="M98" s="3">
        <v>45354</v>
      </c>
      <c r="N98" s="3" t="str">
        <f t="shared" si="6"/>
        <v>March</v>
      </c>
      <c r="O98" s="2" t="s">
        <v>14</v>
      </c>
      <c r="P98" t="str">
        <f t="shared" si="7"/>
        <v>OK</v>
      </c>
    </row>
    <row r="99" spans="1:16" x14ac:dyDescent="0.3">
      <c r="A99" s="2">
        <f t="shared" si="4"/>
        <v>98</v>
      </c>
      <c r="B99" s="2" t="s">
        <v>29</v>
      </c>
      <c r="C99" s="2" t="s">
        <v>13</v>
      </c>
      <c r="D99" s="1">
        <v>0.28100000000000003</v>
      </c>
      <c r="E99" s="1" t="str" cm="1">
        <f t="array" ref="E99">_xlfn.IFS(
D99&lt;20,"Light",
D99&lt;50,"Medium",
D99&lt;100,"Heavy",
D99&gt;=100,"Very Heavy")</f>
        <v>Light</v>
      </c>
      <c r="F99" s="2">
        <v>18</v>
      </c>
      <c r="G99" s="2" t="str" cm="1">
        <f t="array" ref="G99">_xlfn.IFS(
F99&lt;50,"Small",
F99&lt;100,"Medium",
F99&lt;150,"Large",
F99&gt;=150,"Very Large"
)</f>
        <v>Small</v>
      </c>
      <c r="H99" s="2" t="s">
        <v>32</v>
      </c>
      <c r="I99" s="2">
        <v>48.187690000000003</v>
      </c>
      <c r="J99" s="2">
        <v>17.086471</v>
      </c>
      <c r="K99" s="2" t="str">
        <f t="shared" si="5"/>
        <v>Available</v>
      </c>
      <c r="L99" s="2" t="s">
        <v>10</v>
      </c>
      <c r="M99" s="3">
        <v>45354</v>
      </c>
      <c r="N99" s="3" t="str">
        <f t="shared" si="6"/>
        <v>March</v>
      </c>
      <c r="O99" s="2" t="s">
        <v>14</v>
      </c>
      <c r="P99" t="str">
        <f t="shared" si="7"/>
        <v>OK</v>
      </c>
    </row>
    <row r="100" spans="1:16" x14ac:dyDescent="0.3">
      <c r="A100" s="2">
        <f t="shared" si="4"/>
        <v>99</v>
      </c>
      <c r="B100" s="2" t="s">
        <v>27</v>
      </c>
      <c r="C100" s="2" t="s">
        <v>4</v>
      </c>
      <c r="D100" s="1">
        <v>650</v>
      </c>
      <c r="E100" s="1" t="str" cm="1">
        <f t="array" ref="E100">_xlfn.IFS(
D100&lt;20,"Light",
D100&lt;50,"Medium",
D100&lt;100,"Heavy",
D100&gt;=100,"Very Heavy")</f>
        <v>Very Heavy</v>
      </c>
      <c r="F100" s="2">
        <v>285</v>
      </c>
      <c r="G100" s="2" t="str" cm="1">
        <f t="array" ref="G100">_xlfn.IFS(
F100&lt;50,"Small",
F100&lt;100,"Medium",
F100&lt;150,"Large",
F100&gt;=150,"Very Large"
)</f>
        <v>Very Large</v>
      </c>
      <c r="H100" s="2" t="s">
        <v>33</v>
      </c>
      <c r="I100" s="2">
        <v>52.834741000000001</v>
      </c>
      <c r="J100" s="2">
        <v>23.826716000000001</v>
      </c>
      <c r="K100" s="2" t="str">
        <f t="shared" si="5"/>
        <v>Available</v>
      </c>
      <c r="L100" s="2" t="s">
        <v>10</v>
      </c>
      <c r="M100" s="3">
        <v>45355</v>
      </c>
      <c r="N100" s="3" t="str">
        <f t="shared" si="6"/>
        <v>March</v>
      </c>
      <c r="O100" s="2" t="s">
        <v>6</v>
      </c>
      <c r="P100" t="str">
        <f t="shared" si="7"/>
        <v>OK</v>
      </c>
    </row>
    <row r="101" spans="1:16" x14ac:dyDescent="0.3">
      <c r="A101" s="2">
        <f t="shared" si="4"/>
        <v>100</v>
      </c>
      <c r="B101" s="2" t="s">
        <v>30</v>
      </c>
      <c r="C101" s="2" t="s">
        <v>7</v>
      </c>
      <c r="D101" s="1">
        <v>1.1000000000000001</v>
      </c>
      <c r="E101" s="1" t="str" cm="1">
        <f t="array" ref="E101">_xlfn.IFS(
D101&lt;20,"Light",
D101&lt;50,"Medium",
D101&lt;100,"Heavy",
D101&gt;=100,"Very Heavy")</f>
        <v>Light</v>
      </c>
      <c r="F101" s="2">
        <v>24</v>
      </c>
      <c r="G101" s="2" t="str" cm="1">
        <f t="array" ref="G101">_xlfn.IFS(
F101&lt;50,"Small",
F101&lt;100,"Medium",
F101&lt;150,"Large",
F101&gt;=150,"Very Large"
)</f>
        <v>Small</v>
      </c>
      <c r="H101" s="2" t="s">
        <v>32</v>
      </c>
      <c r="I101" s="2">
        <v>48.503794999999997</v>
      </c>
      <c r="J101" s="2">
        <v>20.555931999999999</v>
      </c>
      <c r="K101" s="2" t="str">
        <f t="shared" si="5"/>
        <v>Available</v>
      </c>
      <c r="L101" s="2" t="s">
        <v>10</v>
      </c>
      <c r="M101" s="3">
        <v>45355</v>
      </c>
      <c r="N101" s="3" t="str">
        <f t="shared" si="6"/>
        <v>March</v>
      </c>
      <c r="O101" s="2" t="s">
        <v>6</v>
      </c>
      <c r="P101" t="str">
        <f t="shared" si="7"/>
        <v>OK</v>
      </c>
    </row>
    <row r="102" spans="1:16" x14ac:dyDescent="0.3">
      <c r="A102" s="2">
        <f t="shared" si="4"/>
        <v>101</v>
      </c>
      <c r="B102" s="2" t="s">
        <v>30</v>
      </c>
      <c r="C102" s="2" t="s">
        <v>7</v>
      </c>
      <c r="D102" s="1">
        <v>1.1000000000000001</v>
      </c>
      <c r="E102" s="1" t="str" cm="1">
        <f t="array" ref="E102">_xlfn.IFS(
D102&lt;20,"Light",
D102&lt;50,"Medium",
D102&lt;100,"Heavy",
D102&gt;=100,"Very Heavy")</f>
        <v>Light</v>
      </c>
      <c r="F102" s="2">
        <v>26</v>
      </c>
      <c r="G102" s="2" t="str" cm="1">
        <f t="array" ref="G102">_xlfn.IFS(
F102&lt;50,"Small",
F102&lt;100,"Medium",
F102&lt;150,"Large",
F102&gt;=150,"Very Large"
)</f>
        <v>Small</v>
      </c>
      <c r="H102" s="2" t="s">
        <v>10</v>
      </c>
      <c r="I102" s="2">
        <v>48.503062</v>
      </c>
      <c r="J102" s="2">
        <v>20.551697999999998</v>
      </c>
      <c r="K102" s="2" t="str">
        <f t="shared" si="5"/>
        <v>Available</v>
      </c>
      <c r="L102" s="2" t="s">
        <v>10</v>
      </c>
      <c r="M102" s="3">
        <v>45355</v>
      </c>
      <c r="N102" s="3" t="str">
        <f t="shared" si="6"/>
        <v>March</v>
      </c>
      <c r="O102" s="2" t="s">
        <v>6</v>
      </c>
      <c r="P102" t="str">
        <f t="shared" si="7"/>
        <v>OK</v>
      </c>
    </row>
    <row r="103" spans="1:16" x14ac:dyDescent="0.3">
      <c r="A103" s="2">
        <f t="shared" si="4"/>
        <v>102</v>
      </c>
      <c r="B103" s="2" t="s">
        <v>30</v>
      </c>
      <c r="C103" s="2" t="s">
        <v>7</v>
      </c>
      <c r="D103" s="1">
        <v>0.8</v>
      </c>
      <c r="E103" s="1" t="str" cm="1">
        <f t="array" ref="E103">_xlfn.IFS(
D103&lt;20,"Light",
D103&lt;50,"Medium",
D103&lt;100,"Heavy",
D103&gt;=100,"Very Heavy")</f>
        <v>Light</v>
      </c>
      <c r="F103" s="2">
        <v>18</v>
      </c>
      <c r="G103" s="2" t="str" cm="1">
        <f t="array" ref="G103">_xlfn.IFS(
F103&lt;50,"Small",
F103&lt;100,"Medium",
F103&lt;150,"Large",
F103&gt;=150,"Very Large"
)</f>
        <v>Small</v>
      </c>
      <c r="H103" s="2" t="s">
        <v>33</v>
      </c>
      <c r="I103" s="2">
        <v>48.503498</v>
      </c>
      <c r="J103" s="2">
        <v>20.539662</v>
      </c>
      <c r="K103" s="2" t="str">
        <f t="shared" si="5"/>
        <v>Available</v>
      </c>
      <c r="L103" s="2" t="s">
        <v>10</v>
      </c>
      <c r="M103" s="3">
        <v>45355</v>
      </c>
      <c r="N103" s="3" t="str">
        <f t="shared" si="6"/>
        <v>March</v>
      </c>
      <c r="O103" s="2" t="s">
        <v>6</v>
      </c>
      <c r="P103" t="str">
        <f t="shared" si="7"/>
        <v>OK</v>
      </c>
    </row>
    <row r="104" spans="1:16" x14ac:dyDescent="0.3">
      <c r="A104" s="2">
        <f t="shared" si="4"/>
        <v>103</v>
      </c>
      <c r="B104" s="2" t="s">
        <v>30</v>
      </c>
      <c r="C104" s="2" t="s">
        <v>7</v>
      </c>
      <c r="D104" s="1">
        <v>1.2</v>
      </c>
      <c r="E104" s="1" t="str" cm="1">
        <f t="array" ref="E104">_xlfn.IFS(
D104&lt;20,"Light",
D104&lt;50,"Medium",
D104&lt;100,"Heavy",
D104&gt;=100,"Very Heavy")</f>
        <v>Light</v>
      </c>
      <c r="F104" s="2">
        <v>26</v>
      </c>
      <c r="G104" s="2" t="str" cm="1">
        <f t="array" ref="G104">_xlfn.IFS(
F104&lt;50,"Small",
F104&lt;100,"Medium",
F104&lt;150,"Large",
F104&gt;=150,"Very Large"
)</f>
        <v>Small</v>
      </c>
      <c r="H104" s="2" t="s">
        <v>32</v>
      </c>
      <c r="I104" s="2">
        <v>48.509298000000001</v>
      </c>
      <c r="J104" s="2">
        <v>20.551977000000001</v>
      </c>
      <c r="K104" s="2" t="str">
        <f t="shared" si="5"/>
        <v>Available</v>
      </c>
      <c r="L104" s="2" t="s">
        <v>10</v>
      </c>
      <c r="M104" s="3">
        <v>45355</v>
      </c>
      <c r="N104" s="3" t="str">
        <f t="shared" si="6"/>
        <v>March</v>
      </c>
      <c r="O104" s="2" t="s">
        <v>6</v>
      </c>
      <c r="P104" t="str">
        <f t="shared" si="7"/>
        <v>OK</v>
      </c>
    </row>
    <row r="105" spans="1:16" x14ac:dyDescent="0.3">
      <c r="A105" s="2">
        <f t="shared" si="4"/>
        <v>104</v>
      </c>
      <c r="B105" s="2" t="s">
        <v>30</v>
      </c>
      <c r="C105" s="2" t="s">
        <v>4</v>
      </c>
      <c r="D105" s="1">
        <v>0.9</v>
      </c>
      <c r="E105" s="1" t="str" cm="1">
        <f t="array" ref="E105">_xlfn.IFS(
D105&lt;20,"Light",
D105&lt;50,"Medium",
D105&lt;100,"Heavy",
D105&gt;=100,"Very Heavy")</f>
        <v>Light</v>
      </c>
      <c r="F105" s="2">
        <v>22</v>
      </c>
      <c r="G105" s="2" t="str" cm="1">
        <f t="array" ref="G105">_xlfn.IFS(
F105&lt;50,"Small",
F105&lt;100,"Medium",
F105&lt;150,"Large",
F105&gt;=150,"Very Large"
)</f>
        <v>Small</v>
      </c>
      <c r="H105" s="2" t="s">
        <v>32</v>
      </c>
      <c r="I105" s="2">
        <v>52.214678999999997</v>
      </c>
      <c r="J105" s="2">
        <v>21.033021000000002</v>
      </c>
      <c r="K105" s="2" t="str">
        <f t="shared" si="5"/>
        <v>Available</v>
      </c>
      <c r="L105" s="2" t="s">
        <v>10</v>
      </c>
      <c r="M105" s="3">
        <v>45355</v>
      </c>
      <c r="N105" s="3" t="str">
        <f t="shared" si="6"/>
        <v>March</v>
      </c>
      <c r="O105" s="2" t="s">
        <v>6</v>
      </c>
      <c r="P105" t="str">
        <f t="shared" si="7"/>
        <v>OK</v>
      </c>
    </row>
    <row r="106" spans="1:16" x14ac:dyDescent="0.3">
      <c r="A106" s="2">
        <f t="shared" si="4"/>
        <v>105</v>
      </c>
      <c r="B106" s="2" t="s">
        <v>28</v>
      </c>
      <c r="C106" s="2" t="s">
        <v>7</v>
      </c>
      <c r="D106" s="1">
        <v>25</v>
      </c>
      <c r="E106" s="1" t="str" cm="1">
        <f t="array" ref="E106">_xlfn.IFS(
D106&lt;20,"Light",
D106&lt;50,"Medium",
D106&lt;100,"Heavy",
D106&gt;=100,"Very Heavy")</f>
        <v>Medium</v>
      </c>
      <c r="F106" s="2">
        <v>89</v>
      </c>
      <c r="G106" s="2" t="str" cm="1">
        <f t="array" ref="G106">_xlfn.IFS(
F106&lt;50,"Small",
F106&lt;100,"Medium",
F106&lt;150,"Large",
F106&gt;=150,"Very Large"
)</f>
        <v>Medium</v>
      </c>
      <c r="H106" s="2" t="s">
        <v>32</v>
      </c>
      <c r="I106" s="2">
        <v>48.504168999999997</v>
      </c>
      <c r="J106" s="2">
        <v>20.559452</v>
      </c>
      <c r="K106" s="2" t="str">
        <f t="shared" si="5"/>
        <v>Available</v>
      </c>
      <c r="L106" s="2" t="s">
        <v>10</v>
      </c>
      <c r="M106" s="3">
        <v>45355</v>
      </c>
      <c r="N106" s="3" t="str">
        <f t="shared" si="6"/>
        <v>March</v>
      </c>
      <c r="O106" s="2" t="s">
        <v>6</v>
      </c>
      <c r="P106" t="str">
        <f t="shared" si="7"/>
        <v>OK</v>
      </c>
    </row>
    <row r="107" spans="1:16" x14ac:dyDescent="0.3">
      <c r="A107" s="2">
        <f t="shared" si="4"/>
        <v>106</v>
      </c>
      <c r="B107" s="2" t="s">
        <v>29</v>
      </c>
      <c r="C107" s="2" t="s">
        <v>7</v>
      </c>
      <c r="D107" s="1">
        <v>0.28299999999999997</v>
      </c>
      <c r="E107" s="1" t="str" cm="1">
        <f t="array" ref="E107">_xlfn.IFS(
D107&lt;20,"Light",
D107&lt;50,"Medium",
D107&lt;100,"Heavy",
D107&gt;=100,"Very Heavy")</f>
        <v>Light</v>
      </c>
      <c r="F107" s="2">
        <v>18</v>
      </c>
      <c r="G107" s="2" t="str" cm="1">
        <f t="array" ref="G107">_xlfn.IFS(
F107&lt;50,"Small",
F107&lt;100,"Medium",
F107&lt;150,"Large",
F107&gt;=150,"Very Large"
)</f>
        <v>Small</v>
      </c>
      <c r="H107" s="2" t="s">
        <v>33</v>
      </c>
      <c r="I107" s="2">
        <v>48.505251000000001</v>
      </c>
      <c r="J107" s="2">
        <v>20.551473000000001</v>
      </c>
      <c r="K107" s="2" t="str">
        <f t="shared" si="5"/>
        <v>Available</v>
      </c>
      <c r="L107" s="2" t="s">
        <v>10</v>
      </c>
      <c r="M107" s="3">
        <v>45355</v>
      </c>
      <c r="N107" s="3" t="str">
        <f t="shared" si="6"/>
        <v>March</v>
      </c>
      <c r="O107" s="2" t="s">
        <v>6</v>
      </c>
      <c r="P107" t="str">
        <f t="shared" si="7"/>
        <v>OK</v>
      </c>
    </row>
    <row r="108" spans="1:16" x14ac:dyDescent="0.3">
      <c r="A108" s="2">
        <f t="shared" si="4"/>
        <v>107</v>
      </c>
      <c r="B108" s="2" t="s">
        <v>29</v>
      </c>
      <c r="C108" s="2" t="s">
        <v>7</v>
      </c>
      <c r="D108" s="1">
        <v>0.307</v>
      </c>
      <c r="E108" s="1" t="str" cm="1">
        <f t="array" ref="E108">_xlfn.IFS(
D108&lt;20,"Light",
D108&lt;50,"Medium",
D108&lt;100,"Heavy",
D108&gt;=100,"Very Heavy")</f>
        <v>Light</v>
      </c>
      <c r="F108" s="2">
        <v>20.418848167539199</v>
      </c>
      <c r="G108" s="2" t="str" cm="1">
        <f t="array" ref="G108">_xlfn.IFS(
F108&lt;50,"Small",
F108&lt;100,"Medium",
F108&lt;150,"Large",
F108&gt;=150,"Very Large"
)</f>
        <v>Small</v>
      </c>
      <c r="H108" s="2" t="s">
        <v>32</v>
      </c>
      <c r="K108" s="2" t="str">
        <f t="shared" si="5"/>
        <v>Missing Location</v>
      </c>
      <c r="L108" s="2" t="s">
        <v>10</v>
      </c>
      <c r="M108" s="3">
        <v>45355</v>
      </c>
      <c r="N108" s="3" t="str">
        <f t="shared" si="6"/>
        <v>March</v>
      </c>
      <c r="O108" s="2" t="s">
        <v>6</v>
      </c>
      <c r="P108" t="str">
        <f t="shared" si="7"/>
        <v>Needs Review</v>
      </c>
    </row>
    <row r="109" spans="1:16" x14ac:dyDescent="0.3">
      <c r="A109" s="2">
        <f t="shared" si="4"/>
        <v>108</v>
      </c>
      <c r="B109" s="2" t="s">
        <v>29</v>
      </c>
      <c r="C109" s="2" t="s">
        <v>7</v>
      </c>
      <c r="D109" s="1">
        <v>0.29599999999999999</v>
      </c>
      <c r="E109" s="1" t="str" cm="1">
        <f t="array" ref="E109">_xlfn.IFS(
D109&lt;20,"Light",
D109&lt;50,"Medium",
D109&lt;100,"Heavy",
D109&gt;=100,"Very Heavy")</f>
        <v>Light</v>
      </c>
      <c r="F109" s="2">
        <v>22</v>
      </c>
      <c r="G109" s="2" t="str" cm="1">
        <f t="array" ref="G109">_xlfn.IFS(
F109&lt;50,"Small",
F109&lt;100,"Medium",
F109&lt;150,"Large",
F109&gt;=150,"Very Large"
)</f>
        <v>Small</v>
      </c>
      <c r="H109" s="2" t="s">
        <v>32</v>
      </c>
      <c r="I109" s="2">
        <v>48.502583999999999</v>
      </c>
      <c r="J109" s="2">
        <v>20.532518</v>
      </c>
      <c r="K109" s="2" t="str">
        <f t="shared" si="5"/>
        <v>Available</v>
      </c>
      <c r="L109" s="2" t="s">
        <v>10</v>
      </c>
      <c r="M109" s="3">
        <v>45355</v>
      </c>
      <c r="N109" s="3" t="str">
        <f t="shared" si="6"/>
        <v>March</v>
      </c>
      <c r="O109" s="2" t="s">
        <v>6</v>
      </c>
      <c r="P109" t="str">
        <f t="shared" si="7"/>
        <v>OK</v>
      </c>
    </row>
    <row r="110" spans="1:16" x14ac:dyDescent="0.3">
      <c r="A110" s="2">
        <f t="shared" si="4"/>
        <v>109</v>
      </c>
      <c r="B110" s="2" t="s">
        <v>29</v>
      </c>
      <c r="C110" s="2" t="s">
        <v>7</v>
      </c>
      <c r="D110" s="1">
        <v>0.30099999999999999</v>
      </c>
      <c r="E110" s="1" t="str" cm="1">
        <f t="array" ref="E110">_xlfn.IFS(
D110&lt;20,"Light",
D110&lt;50,"Medium",
D110&lt;100,"Heavy",
D110&gt;=100,"Very Heavy")</f>
        <v>Light</v>
      </c>
      <c r="F110" s="2">
        <v>18</v>
      </c>
      <c r="G110" s="2" t="str" cm="1">
        <f t="array" ref="G110">_xlfn.IFS(
F110&lt;50,"Small",
F110&lt;100,"Medium",
F110&lt;150,"Large",
F110&gt;=150,"Very Large"
)</f>
        <v>Small</v>
      </c>
      <c r="H110" s="2" t="s">
        <v>33</v>
      </c>
      <c r="I110" s="2">
        <v>48.505512000000003</v>
      </c>
      <c r="J110" s="2">
        <v>20.538038</v>
      </c>
      <c r="K110" s="2" t="str">
        <f t="shared" si="5"/>
        <v>Available</v>
      </c>
      <c r="L110" s="2" t="s">
        <v>10</v>
      </c>
      <c r="M110" s="3">
        <v>45355</v>
      </c>
      <c r="N110" s="3" t="str">
        <f t="shared" si="6"/>
        <v>March</v>
      </c>
      <c r="O110" s="2" t="s">
        <v>6</v>
      </c>
      <c r="P110" t="str">
        <f t="shared" si="7"/>
        <v>OK</v>
      </c>
    </row>
    <row r="111" spans="1:16" x14ac:dyDescent="0.3">
      <c r="A111" s="2">
        <f t="shared" si="4"/>
        <v>110</v>
      </c>
      <c r="B111" s="2" t="s">
        <v>29</v>
      </c>
      <c r="C111" s="2" t="s">
        <v>7</v>
      </c>
      <c r="D111" s="1">
        <v>0.29499999999999998</v>
      </c>
      <c r="E111" s="1" t="str" cm="1">
        <f t="array" ref="E111">_xlfn.IFS(
D111&lt;20,"Light",
D111&lt;50,"Medium",
D111&lt;100,"Heavy",
D111&gt;=100,"Very Heavy")</f>
        <v>Light</v>
      </c>
      <c r="F111" s="2">
        <v>17</v>
      </c>
      <c r="G111" s="2" t="str" cm="1">
        <f t="array" ref="G111">_xlfn.IFS(
F111&lt;50,"Small",
F111&lt;100,"Medium",
F111&lt;150,"Large",
F111&gt;=150,"Very Large"
)</f>
        <v>Small</v>
      </c>
      <c r="H111" s="2" t="s">
        <v>32</v>
      </c>
      <c r="I111" s="2">
        <v>48.505780000000001</v>
      </c>
      <c r="J111" s="2">
        <v>20.546465999999999</v>
      </c>
      <c r="K111" s="2" t="str">
        <f t="shared" si="5"/>
        <v>Available</v>
      </c>
      <c r="L111" s="2" t="s">
        <v>10</v>
      </c>
      <c r="M111" s="3">
        <v>45355</v>
      </c>
      <c r="N111" s="3" t="str">
        <f t="shared" si="6"/>
        <v>March</v>
      </c>
      <c r="O111" s="2" t="s">
        <v>6</v>
      </c>
      <c r="P111" t="str">
        <f t="shared" si="7"/>
        <v>OK</v>
      </c>
    </row>
    <row r="112" spans="1:16" x14ac:dyDescent="0.3">
      <c r="A112" s="2">
        <f t="shared" si="4"/>
        <v>111</v>
      </c>
      <c r="B112" s="2" t="s">
        <v>29</v>
      </c>
      <c r="C112" s="2" t="s">
        <v>7</v>
      </c>
      <c r="D112" s="1">
        <v>0.32</v>
      </c>
      <c r="E112" s="1" t="str" cm="1">
        <f t="array" ref="E112">_xlfn.IFS(
D112&lt;20,"Light",
D112&lt;50,"Medium",
D112&lt;100,"Heavy",
D112&gt;=100,"Very Heavy")</f>
        <v>Light</v>
      </c>
      <c r="F112" s="2">
        <v>18</v>
      </c>
      <c r="G112" s="2" t="str" cm="1">
        <f t="array" ref="G112">_xlfn.IFS(
F112&lt;50,"Small",
F112&lt;100,"Medium",
F112&lt;150,"Large",
F112&gt;=150,"Very Large"
)</f>
        <v>Small</v>
      </c>
      <c r="H112" s="2" t="s">
        <v>32</v>
      </c>
      <c r="I112" s="2">
        <v>48.502091</v>
      </c>
      <c r="J112" s="2">
        <v>20.547521</v>
      </c>
      <c r="K112" s="2" t="str">
        <f t="shared" si="5"/>
        <v>Available</v>
      </c>
      <c r="L112" s="2" t="s">
        <v>10</v>
      </c>
      <c r="M112" s="3">
        <v>45355</v>
      </c>
      <c r="N112" s="3" t="str">
        <f t="shared" si="6"/>
        <v>March</v>
      </c>
      <c r="O112" s="2" t="s">
        <v>6</v>
      </c>
      <c r="P112" t="str">
        <f t="shared" si="7"/>
        <v>OK</v>
      </c>
    </row>
    <row r="113" spans="1:16" x14ac:dyDescent="0.3">
      <c r="A113" s="2">
        <f t="shared" si="4"/>
        <v>112</v>
      </c>
      <c r="B113" s="2" t="s">
        <v>29</v>
      </c>
      <c r="C113" s="2" t="s">
        <v>7</v>
      </c>
      <c r="D113" s="1">
        <v>0.28000000000000003</v>
      </c>
      <c r="E113" s="1" t="str" cm="1">
        <f t="array" ref="E113">_xlfn.IFS(
D113&lt;20,"Light",
D113&lt;50,"Medium",
D113&lt;100,"Heavy",
D113&gt;=100,"Very Heavy")</f>
        <v>Light</v>
      </c>
      <c r="F113" s="2">
        <v>19</v>
      </c>
      <c r="G113" s="2" t="str" cm="1">
        <f t="array" ref="G113">_xlfn.IFS(
F113&lt;50,"Small",
F113&lt;100,"Medium",
F113&lt;150,"Large",
F113&gt;=150,"Very Large"
)</f>
        <v>Small</v>
      </c>
      <c r="H113" s="2" t="s">
        <v>33</v>
      </c>
      <c r="I113" s="2">
        <v>48.505493999999999</v>
      </c>
      <c r="J113" s="2">
        <v>20.536362</v>
      </c>
      <c r="K113" s="2" t="str">
        <f t="shared" si="5"/>
        <v>Available</v>
      </c>
      <c r="L113" s="2" t="s">
        <v>10</v>
      </c>
      <c r="M113" s="3">
        <v>45355</v>
      </c>
      <c r="N113" s="3" t="str">
        <f t="shared" si="6"/>
        <v>March</v>
      </c>
      <c r="O113" s="2" t="s">
        <v>6</v>
      </c>
      <c r="P113" t="str">
        <f t="shared" si="7"/>
        <v>OK</v>
      </c>
    </row>
    <row r="114" spans="1:16" x14ac:dyDescent="0.3">
      <c r="A114" s="2">
        <f t="shared" si="4"/>
        <v>113</v>
      </c>
      <c r="B114" s="2" t="s">
        <v>29</v>
      </c>
      <c r="C114" s="2" t="s">
        <v>4</v>
      </c>
      <c r="D114" s="1">
        <v>0.33</v>
      </c>
      <c r="E114" s="1" t="str" cm="1">
        <f t="array" ref="E114">_xlfn.IFS(
D114&lt;20,"Light",
D114&lt;50,"Medium",
D114&lt;100,"Heavy",
D114&gt;=100,"Very Heavy")</f>
        <v>Light</v>
      </c>
      <c r="F114" s="2">
        <v>24</v>
      </c>
      <c r="G114" s="2" t="str" cm="1">
        <f t="array" ref="G114">_xlfn.IFS(
F114&lt;50,"Small",
F114&lt;100,"Medium",
F114&lt;150,"Large",
F114&gt;=150,"Very Large"
)</f>
        <v>Small</v>
      </c>
      <c r="H114" s="2" t="s">
        <v>32</v>
      </c>
      <c r="I114" s="2">
        <v>52.241202999999999</v>
      </c>
      <c r="J114" s="2">
        <v>21.050999000000001</v>
      </c>
      <c r="K114" s="2" t="str">
        <f t="shared" si="5"/>
        <v>Available</v>
      </c>
      <c r="L114" s="2" t="s">
        <v>10</v>
      </c>
      <c r="M114" s="3">
        <v>45355</v>
      </c>
      <c r="N114" s="3" t="str">
        <f t="shared" si="6"/>
        <v>March</v>
      </c>
      <c r="O114" s="2" t="s">
        <v>6</v>
      </c>
      <c r="P114" t="str">
        <f t="shared" si="7"/>
        <v>OK</v>
      </c>
    </row>
    <row r="115" spans="1:16" x14ac:dyDescent="0.3">
      <c r="A115" s="2">
        <f t="shared" si="4"/>
        <v>114</v>
      </c>
      <c r="B115" s="2" t="s">
        <v>29</v>
      </c>
      <c r="C115" s="2" t="s">
        <v>4</v>
      </c>
      <c r="D115" s="1">
        <v>0.3</v>
      </c>
      <c r="E115" s="1" t="str" cm="1">
        <f t="array" ref="E115">_xlfn.IFS(
D115&lt;20,"Light",
D115&lt;50,"Medium",
D115&lt;100,"Heavy",
D115&gt;=100,"Very Heavy")</f>
        <v>Light</v>
      </c>
      <c r="F115" s="2">
        <v>22</v>
      </c>
      <c r="G115" s="2" t="str" cm="1">
        <f t="array" ref="G115">_xlfn.IFS(
F115&lt;50,"Small",
F115&lt;100,"Medium",
F115&lt;150,"Large",
F115&gt;=150,"Very Large"
)</f>
        <v>Small</v>
      </c>
      <c r="H115" s="2" t="s">
        <v>33</v>
      </c>
      <c r="I115" s="2">
        <v>52.240017999999999</v>
      </c>
      <c r="J115" s="2">
        <v>21.052389999999999</v>
      </c>
      <c r="K115" s="2" t="str">
        <f t="shared" si="5"/>
        <v>Available</v>
      </c>
      <c r="L115" s="2" t="s">
        <v>16</v>
      </c>
      <c r="M115" s="3">
        <v>45355</v>
      </c>
      <c r="N115" s="3" t="str">
        <f t="shared" si="6"/>
        <v>March</v>
      </c>
      <c r="O115" s="2" t="s">
        <v>6</v>
      </c>
      <c r="P115" t="str">
        <f t="shared" si="7"/>
        <v>OK</v>
      </c>
    </row>
    <row r="116" spans="1:16" x14ac:dyDescent="0.3">
      <c r="A116" s="2">
        <f t="shared" si="4"/>
        <v>115</v>
      </c>
      <c r="B116" s="2" t="s">
        <v>29</v>
      </c>
      <c r="C116" s="2" t="s">
        <v>4</v>
      </c>
      <c r="D116" s="1">
        <v>0.28299999999999997</v>
      </c>
      <c r="E116" s="1" t="str" cm="1">
        <f t="array" ref="E116">_xlfn.IFS(
D116&lt;20,"Light",
D116&lt;50,"Medium",
D116&lt;100,"Heavy",
D116&gt;=100,"Very Heavy")</f>
        <v>Light</v>
      </c>
      <c r="F116" s="2">
        <v>17</v>
      </c>
      <c r="G116" s="2" t="str" cm="1">
        <f t="array" ref="G116">_xlfn.IFS(
F116&lt;50,"Small",
F116&lt;100,"Medium",
F116&lt;150,"Large",
F116&gt;=150,"Very Large"
)</f>
        <v>Small</v>
      </c>
      <c r="H116" s="2" t="s">
        <v>33</v>
      </c>
      <c r="I116" s="2">
        <v>52.239930999999999</v>
      </c>
      <c r="J116" s="2">
        <v>21.056702999999999</v>
      </c>
      <c r="K116" s="2" t="str">
        <f t="shared" si="5"/>
        <v>Available</v>
      </c>
      <c r="L116" s="2" t="s">
        <v>10</v>
      </c>
      <c r="M116" s="3">
        <v>45355</v>
      </c>
      <c r="N116" s="3" t="str">
        <f t="shared" si="6"/>
        <v>March</v>
      </c>
      <c r="O116" s="2" t="s">
        <v>6</v>
      </c>
      <c r="P116" t="str">
        <f t="shared" si="7"/>
        <v>OK</v>
      </c>
    </row>
    <row r="117" spans="1:16" x14ac:dyDescent="0.3">
      <c r="A117" s="2">
        <f t="shared" si="4"/>
        <v>116</v>
      </c>
      <c r="B117" s="2" t="s">
        <v>29</v>
      </c>
      <c r="C117" s="2" t="s">
        <v>4</v>
      </c>
      <c r="D117" s="1">
        <v>0.34100000000000003</v>
      </c>
      <c r="E117" s="1" t="str" cm="1">
        <f t="array" ref="E117">_xlfn.IFS(
D117&lt;20,"Light",
D117&lt;50,"Medium",
D117&lt;100,"Heavy",
D117&gt;=100,"Very Heavy")</f>
        <v>Light</v>
      </c>
      <c r="F117" s="2">
        <v>21</v>
      </c>
      <c r="G117" s="2" t="str" cm="1">
        <f t="array" ref="G117">_xlfn.IFS(
F117&lt;50,"Small",
F117&lt;100,"Medium",
F117&lt;150,"Large",
F117&gt;=150,"Very Large"
)</f>
        <v>Small</v>
      </c>
      <c r="H117" s="2" t="s">
        <v>32</v>
      </c>
      <c r="I117" s="2">
        <v>52.241855999999999</v>
      </c>
      <c r="J117" s="2">
        <v>21.053077999999999</v>
      </c>
      <c r="K117" s="2" t="str">
        <f t="shared" si="5"/>
        <v>Available</v>
      </c>
      <c r="L117" s="2" t="s">
        <v>10</v>
      </c>
      <c r="M117" s="3">
        <v>45355</v>
      </c>
      <c r="N117" s="3" t="str">
        <f t="shared" si="6"/>
        <v>March</v>
      </c>
      <c r="O117" s="2" t="s">
        <v>6</v>
      </c>
      <c r="P117" t="str">
        <f t="shared" si="7"/>
        <v>OK</v>
      </c>
    </row>
    <row r="118" spans="1:16" x14ac:dyDescent="0.3">
      <c r="A118" s="2">
        <f t="shared" si="4"/>
        <v>117</v>
      </c>
      <c r="B118" s="2" t="s">
        <v>29</v>
      </c>
      <c r="C118" s="2" t="s">
        <v>4</v>
      </c>
      <c r="D118" s="1">
        <v>0.35</v>
      </c>
      <c r="E118" s="1" t="str" cm="1">
        <f t="array" ref="E118">_xlfn.IFS(
D118&lt;20,"Light",
D118&lt;50,"Medium",
D118&lt;100,"Heavy",
D118&gt;=100,"Very Heavy")</f>
        <v>Light</v>
      </c>
      <c r="F118" s="2">
        <v>24</v>
      </c>
      <c r="G118" s="2" t="str" cm="1">
        <f t="array" ref="G118">_xlfn.IFS(
F118&lt;50,"Small",
F118&lt;100,"Medium",
F118&lt;150,"Large",
F118&gt;=150,"Very Large"
)</f>
        <v>Small</v>
      </c>
      <c r="H118" s="2" t="s">
        <v>32</v>
      </c>
      <c r="I118" s="2">
        <v>52.240453000000002</v>
      </c>
      <c r="J118" s="2">
        <v>21.055847</v>
      </c>
      <c r="K118" s="2" t="str">
        <f t="shared" si="5"/>
        <v>Available</v>
      </c>
      <c r="L118" s="2" t="s">
        <v>10</v>
      </c>
      <c r="M118" s="3">
        <v>45355</v>
      </c>
      <c r="N118" s="3" t="str">
        <f t="shared" si="6"/>
        <v>March</v>
      </c>
      <c r="O118" s="2" t="s">
        <v>6</v>
      </c>
      <c r="P118" t="str">
        <f t="shared" si="7"/>
        <v>OK</v>
      </c>
    </row>
    <row r="119" spans="1:16" x14ac:dyDescent="0.3">
      <c r="A119" s="2">
        <f t="shared" si="4"/>
        <v>118</v>
      </c>
      <c r="B119" s="2" t="s">
        <v>29</v>
      </c>
      <c r="C119" s="2" t="s">
        <v>4</v>
      </c>
      <c r="D119" s="1">
        <v>0.29099999999999998</v>
      </c>
      <c r="E119" s="1" t="str" cm="1">
        <f t="array" ref="E119">_xlfn.IFS(
D119&lt;20,"Light",
D119&lt;50,"Medium",
D119&lt;100,"Heavy",
D119&gt;=100,"Very Heavy")</f>
        <v>Light</v>
      </c>
      <c r="F119" s="2">
        <v>21</v>
      </c>
      <c r="G119" s="2" t="str" cm="1">
        <f t="array" ref="G119">_xlfn.IFS(
F119&lt;50,"Small",
F119&lt;100,"Medium",
F119&lt;150,"Large",
F119&gt;=150,"Very Large"
)</f>
        <v>Small</v>
      </c>
      <c r="H119" s="2" t="s">
        <v>10</v>
      </c>
      <c r="I119" s="2">
        <v>52.241661999999998</v>
      </c>
      <c r="J119" s="2">
        <v>21.056429999999999</v>
      </c>
      <c r="K119" s="2" t="str">
        <f t="shared" si="5"/>
        <v>Available</v>
      </c>
      <c r="L119" s="2" t="s">
        <v>10</v>
      </c>
      <c r="M119" s="3">
        <v>45355</v>
      </c>
      <c r="N119" s="3" t="str">
        <f t="shared" si="6"/>
        <v>March</v>
      </c>
      <c r="O119" s="2" t="s">
        <v>6</v>
      </c>
      <c r="P119" t="str">
        <f t="shared" si="7"/>
        <v>OK</v>
      </c>
    </row>
    <row r="120" spans="1:16" x14ac:dyDescent="0.3">
      <c r="A120" s="2">
        <f t="shared" si="4"/>
        <v>119</v>
      </c>
      <c r="B120" s="2" t="s">
        <v>29</v>
      </c>
      <c r="C120" s="2" t="s">
        <v>4</v>
      </c>
      <c r="D120" s="1">
        <v>0.32900000000000001</v>
      </c>
      <c r="E120" s="1" t="str" cm="1">
        <f t="array" ref="E120">_xlfn.IFS(
D120&lt;20,"Light",
D120&lt;50,"Medium",
D120&lt;100,"Heavy",
D120&gt;=100,"Very Heavy")</f>
        <v>Light</v>
      </c>
      <c r="F120" s="2">
        <v>22</v>
      </c>
      <c r="G120" s="2" t="str" cm="1">
        <f t="array" ref="G120">_xlfn.IFS(
F120&lt;50,"Small",
F120&lt;100,"Medium",
F120&lt;150,"Large",
F120&gt;=150,"Very Large"
)</f>
        <v>Small</v>
      </c>
      <c r="H120" s="2" t="s">
        <v>33</v>
      </c>
      <c r="I120" s="2">
        <v>52.241638000000002</v>
      </c>
      <c r="J120" s="2">
        <v>21.055997999999999</v>
      </c>
      <c r="K120" s="2" t="str">
        <f t="shared" si="5"/>
        <v>Available</v>
      </c>
      <c r="L120" s="2" t="s">
        <v>16</v>
      </c>
      <c r="M120" s="3">
        <v>45355</v>
      </c>
      <c r="N120" s="3" t="str">
        <f t="shared" si="6"/>
        <v>March</v>
      </c>
      <c r="O120" s="2" t="s">
        <v>6</v>
      </c>
      <c r="P120" t="str">
        <f t="shared" si="7"/>
        <v>OK</v>
      </c>
    </row>
    <row r="121" spans="1:16" x14ac:dyDescent="0.3">
      <c r="A121" s="2">
        <f t="shared" si="4"/>
        <v>120</v>
      </c>
      <c r="B121" s="2" t="s">
        <v>29</v>
      </c>
      <c r="C121" s="2" t="s">
        <v>7</v>
      </c>
      <c r="D121" s="1">
        <v>0.32700000000000001</v>
      </c>
      <c r="E121" s="1" t="str" cm="1">
        <f t="array" ref="E121">_xlfn.IFS(
D121&lt;20,"Light",
D121&lt;50,"Medium",
D121&lt;100,"Heavy",
D121&gt;=100,"Very Heavy")</f>
        <v>Light</v>
      </c>
      <c r="F121" s="2">
        <v>18</v>
      </c>
      <c r="G121" s="2" t="str" cm="1">
        <f t="array" ref="G121">_xlfn.IFS(
F121&lt;50,"Small",
F121&lt;100,"Medium",
F121&lt;150,"Large",
F121&gt;=150,"Very Large"
)</f>
        <v>Small</v>
      </c>
      <c r="H121" s="2" t="s">
        <v>33</v>
      </c>
      <c r="I121" s="2">
        <v>48.502803</v>
      </c>
      <c r="J121" s="2">
        <v>20.548667999999999</v>
      </c>
      <c r="K121" s="2" t="str">
        <f t="shared" si="5"/>
        <v>Available</v>
      </c>
      <c r="L121" s="2" t="s">
        <v>10</v>
      </c>
      <c r="M121" s="3">
        <v>45355</v>
      </c>
      <c r="N121" s="3" t="str">
        <f t="shared" si="6"/>
        <v>March</v>
      </c>
      <c r="O121" s="2" t="s">
        <v>6</v>
      </c>
      <c r="P121" t="str">
        <f t="shared" si="7"/>
        <v>OK</v>
      </c>
    </row>
    <row r="122" spans="1:16" x14ac:dyDescent="0.3">
      <c r="A122" s="2">
        <f t="shared" si="4"/>
        <v>121</v>
      </c>
      <c r="B122" s="2" t="s">
        <v>29</v>
      </c>
      <c r="C122" s="2" t="s">
        <v>4</v>
      </c>
      <c r="D122" s="1">
        <v>0.35</v>
      </c>
      <c r="E122" s="1" t="str" cm="1">
        <f t="array" ref="E122">_xlfn.IFS(
D122&lt;20,"Light",
D122&lt;50,"Medium",
D122&lt;100,"Heavy",
D122&gt;=100,"Very Heavy")</f>
        <v>Light</v>
      </c>
      <c r="F122" s="2">
        <v>24</v>
      </c>
      <c r="G122" s="2" t="str" cm="1">
        <f t="array" ref="G122">_xlfn.IFS(
F122&lt;50,"Small",
F122&lt;100,"Medium",
F122&lt;150,"Large",
F122&gt;=150,"Very Large"
)</f>
        <v>Small</v>
      </c>
      <c r="H122" s="2" t="s">
        <v>32</v>
      </c>
      <c r="I122" s="2">
        <v>52.240496999999998</v>
      </c>
      <c r="J122" s="2">
        <v>21.055990999999999</v>
      </c>
      <c r="K122" s="2" t="str">
        <f t="shared" si="5"/>
        <v>Available</v>
      </c>
      <c r="L122" s="2" t="s">
        <v>10</v>
      </c>
      <c r="M122" s="3">
        <v>45355</v>
      </c>
      <c r="N122" s="3" t="str">
        <f t="shared" si="6"/>
        <v>March</v>
      </c>
      <c r="O122" s="2" t="s">
        <v>6</v>
      </c>
      <c r="P122" t="str">
        <f t="shared" si="7"/>
        <v>OK</v>
      </c>
    </row>
    <row r="123" spans="1:16" x14ac:dyDescent="0.3">
      <c r="A123" s="2">
        <f t="shared" si="4"/>
        <v>122</v>
      </c>
      <c r="B123" s="2" t="s">
        <v>30</v>
      </c>
      <c r="C123" s="2" t="s">
        <v>15</v>
      </c>
      <c r="D123" s="1">
        <v>0.6</v>
      </c>
      <c r="E123" s="1" t="str" cm="1">
        <f t="array" ref="E123">_xlfn.IFS(
D123&lt;20,"Light",
D123&lt;50,"Medium",
D123&lt;100,"Heavy",
D123&gt;=100,"Very Heavy")</f>
        <v>Light</v>
      </c>
      <c r="F123" s="2">
        <v>17</v>
      </c>
      <c r="G123" s="2" t="str" cm="1">
        <f t="array" ref="G123">_xlfn.IFS(
F123&lt;50,"Small",
F123&lt;100,"Medium",
F123&lt;150,"Large",
F123&gt;=150,"Very Large"
)</f>
        <v>Small</v>
      </c>
      <c r="H123" s="2" t="s">
        <v>32</v>
      </c>
      <c r="I123" s="2">
        <v>50.635500999999998</v>
      </c>
      <c r="J123" s="2">
        <v>14.838158</v>
      </c>
      <c r="K123" s="2" t="str">
        <f t="shared" si="5"/>
        <v>Available</v>
      </c>
      <c r="L123" s="2" t="s">
        <v>10</v>
      </c>
      <c r="M123" s="3">
        <v>45355</v>
      </c>
      <c r="N123" s="3" t="str">
        <f t="shared" si="6"/>
        <v>March</v>
      </c>
      <c r="O123" s="2" t="s">
        <v>14</v>
      </c>
      <c r="P123" t="str">
        <f t="shared" si="7"/>
        <v>OK</v>
      </c>
    </row>
    <row r="124" spans="1:16" x14ac:dyDescent="0.3">
      <c r="A124" s="2">
        <f t="shared" si="4"/>
        <v>123</v>
      </c>
      <c r="B124" s="2" t="s">
        <v>30</v>
      </c>
      <c r="C124" s="2" t="s">
        <v>15</v>
      </c>
      <c r="D124" s="1">
        <v>0.9</v>
      </c>
      <c r="E124" s="1" t="str" cm="1">
        <f t="array" ref="E124">_xlfn.IFS(
D124&lt;20,"Light",
D124&lt;50,"Medium",
D124&lt;100,"Heavy",
D124&gt;=100,"Very Heavy")</f>
        <v>Light</v>
      </c>
      <c r="F124" s="2">
        <v>22</v>
      </c>
      <c r="G124" s="2" t="str" cm="1">
        <f t="array" ref="G124">_xlfn.IFS(
F124&lt;50,"Small",
F124&lt;100,"Medium",
F124&lt;150,"Large",
F124&gt;=150,"Very Large"
)</f>
        <v>Small</v>
      </c>
      <c r="H124" s="2" t="s">
        <v>33</v>
      </c>
      <c r="I124" s="2">
        <v>50.638142000000002</v>
      </c>
      <c r="J124" s="2">
        <v>14.849689</v>
      </c>
      <c r="K124" s="2" t="str">
        <f t="shared" si="5"/>
        <v>Available</v>
      </c>
      <c r="L124" s="2" t="s">
        <v>10</v>
      </c>
      <c r="M124" s="3">
        <v>45355</v>
      </c>
      <c r="N124" s="3" t="str">
        <f t="shared" si="6"/>
        <v>March</v>
      </c>
      <c r="O124" s="2" t="s">
        <v>14</v>
      </c>
      <c r="P124" t="str">
        <f t="shared" si="7"/>
        <v>OK</v>
      </c>
    </row>
    <row r="125" spans="1:16" x14ac:dyDescent="0.3">
      <c r="A125" s="2">
        <f t="shared" si="4"/>
        <v>124</v>
      </c>
      <c r="B125" s="2" t="s">
        <v>29</v>
      </c>
      <c r="C125" s="2" t="s">
        <v>15</v>
      </c>
      <c r="D125" s="1">
        <v>0.28899999999999998</v>
      </c>
      <c r="E125" s="1" t="str" cm="1">
        <f t="array" ref="E125">_xlfn.IFS(
D125&lt;20,"Light",
D125&lt;50,"Medium",
D125&lt;100,"Heavy",
D125&gt;=100,"Very Heavy")</f>
        <v>Light</v>
      </c>
      <c r="F125" s="2">
        <v>21</v>
      </c>
      <c r="G125" s="2" t="str" cm="1">
        <f t="array" ref="G125">_xlfn.IFS(
F125&lt;50,"Small",
F125&lt;100,"Medium",
F125&lt;150,"Large",
F125&gt;=150,"Very Large"
)</f>
        <v>Small</v>
      </c>
      <c r="H125" s="2" t="s">
        <v>33</v>
      </c>
      <c r="I125" s="2">
        <v>49.937871999999999</v>
      </c>
      <c r="J125" s="2">
        <v>14.179824999999999</v>
      </c>
      <c r="K125" s="2" t="str">
        <f t="shared" si="5"/>
        <v>Available</v>
      </c>
      <c r="L125" s="2" t="s">
        <v>10</v>
      </c>
      <c r="M125" s="3">
        <v>45355</v>
      </c>
      <c r="N125" s="3" t="str">
        <f t="shared" si="6"/>
        <v>March</v>
      </c>
      <c r="O125" s="2" t="s">
        <v>14</v>
      </c>
      <c r="P125" t="str">
        <f t="shared" si="7"/>
        <v>OK</v>
      </c>
    </row>
    <row r="126" spans="1:16" x14ac:dyDescent="0.3">
      <c r="A126" s="2">
        <f t="shared" si="4"/>
        <v>125</v>
      </c>
      <c r="B126" s="2" t="s">
        <v>29</v>
      </c>
      <c r="C126" s="2" t="s">
        <v>13</v>
      </c>
      <c r="D126" s="1">
        <v>0.29699999999999999</v>
      </c>
      <c r="E126" s="1" t="str" cm="1">
        <f t="array" ref="E126">_xlfn.IFS(
D126&lt;20,"Light",
D126&lt;50,"Medium",
D126&lt;100,"Heavy",
D126&gt;=100,"Very Heavy")</f>
        <v>Light</v>
      </c>
      <c r="F126" s="2">
        <v>20</v>
      </c>
      <c r="G126" s="2" t="str" cm="1">
        <f t="array" ref="G126">_xlfn.IFS(
F126&lt;50,"Small",
F126&lt;100,"Medium",
F126&lt;150,"Large",
F126&gt;=150,"Very Large"
)</f>
        <v>Small</v>
      </c>
      <c r="H126" s="2" t="s">
        <v>33</v>
      </c>
      <c r="I126" s="2">
        <v>48.185194000000003</v>
      </c>
      <c r="J126" s="2">
        <v>17.083141999999999</v>
      </c>
      <c r="K126" s="2" t="str">
        <f t="shared" si="5"/>
        <v>Available</v>
      </c>
      <c r="L126" s="2" t="s">
        <v>10</v>
      </c>
      <c r="M126" s="3">
        <v>45355</v>
      </c>
      <c r="N126" s="3" t="str">
        <f t="shared" si="6"/>
        <v>March</v>
      </c>
      <c r="O126" s="2" t="s">
        <v>14</v>
      </c>
      <c r="P126" t="str">
        <f t="shared" si="7"/>
        <v>OK</v>
      </c>
    </row>
    <row r="127" spans="1:16" x14ac:dyDescent="0.3">
      <c r="A127" s="2">
        <f t="shared" si="4"/>
        <v>126</v>
      </c>
      <c r="B127" s="2" t="s">
        <v>28</v>
      </c>
      <c r="C127" s="2" t="s">
        <v>7</v>
      </c>
      <c r="D127" s="1">
        <v>24</v>
      </c>
      <c r="E127" s="1" t="str" cm="1">
        <f t="array" ref="E127">_xlfn.IFS(
D127&lt;20,"Light",
D127&lt;50,"Medium",
D127&lt;100,"Heavy",
D127&gt;=100,"Very Heavy")</f>
        <v>Medium</v>
      </c>
      <c r="F127" s="2">
        <v>79</v>
      </c>
      <c r="G127" s="2" t="str" cm="1">
        <f t="array" ref="G127">_xlfn.IFS(
F127&lt;50,"Small",
F127&lt;100,"Medium",
F127&lt;150,"Large",
F127&gt;=150,"Very Large"
)</f>
        <v>Medium</v>
      </c>
      <c r="H127" s="2" t="s">
        <v>32</v>
      </c>
      <c r="I127" s="2">
        <v>48.503042999999998</v>
      </c>
      <c r="J127" s="2">
        <v>20.561567</v>
      </c>
      <c r="K127" s="2" t="str">
        <f t="shared" si="5"/>
        <v>Available</v>
      </c>
      <c r="L127" s="2" t="s">
        <v>10</v>
      </c>
      <c r="M127" s="3">
        <v>45356</v>
      </c>
      <c r="N127" s="3" t="str">
        <f t="shared" si="6"/>
        <v>March</v>
      </c>
      <c r="O127" s="2" t="s">
        <v>6</v>
      </c>
      <c r="P127" t="str">
        <f t="shared" si="7"/>
        <v>OK</v>
      </c>
    </row>
    <row r="128" spans="1:16" x14ac:dyDescent="0.3">
      <c r="A128" s="2">
        <f t="shared" si="4"/>
        <v>127</v>
      </c>
      <c r="B128" s="2" t="s">
        <v>29</v>
      </c>
      <c r="C128" s="2" t="s">
        <v>4</v>
      </c>
      <c r="D128" s="1">
        <v>0.30099999999999999</v>
      </c>
      <c r="E128" s="1" t="str" cm="1">
        <f t="array" ref="E128">_xlfn.IFS(
D128&lt;20,"Light",
D128&lt;50,"Medium",
D128&lt;100,"Heavy",
D128&gt;=100,"Very Heavy")</f>
        <v>Light</v>
      </c>
      <c r="F128" s="2">
        <v>23</v>
      </c>
      <c r="G128" s="2" t="str" cm="1">
        <f t="array" ref="G128">_xlfn.IFS(
F128&lt;50,"Small",
F128&lt;100,"Medium",
F128&lt;150,"Large",
F128&gt;=150,"Very Large"
)</f>
        <v>Small</v>
      </c>
      <c r="H128" s="2" t="s">
        <v>33</v>
      </c>
      <c r="I128" s="2">
        <v>52.240867000000001</v>
      </c>
      <c r="J128" s="2">
        <v>21.054338999999999</v>
      </c>
      <c r="K128" s="2" t="str">
        <f t="shared" si="5"/>
        <v>Available</v>
      </c>
      <c r="L128" s="2" t="s">
        <v>10</v>
      </c>
      <c r="M128" s="3">
        <v>45356</v>
      </c>
      <c r="N128" s="3" t="str">
        <f t="shared" si="6"/>
        <v>March</v>
      </c>
      <c r="O128" s="2" t="s">
        <v>6</v>
      </c>
      <c r="P128" t="str">
        <f t="shared" si="7"/>
        <v>OK</v>
      </c>
    </row>
    <row r="129" spans="1:16" x14ac:dyDescent="0.3">
      <c r="A129" s="2">
        <f t="shared" si="4"/>
        <v>128</v>
      </c>
      <c r="B129" s="2" t="s">
        <v>29</v>
      </c>
      <c r="C129" s="2" t="s">
        <v>4</v>
      </c>
      <c r="D129" s="1">
        <v>0.34399999999999997</v>
      </c>
      <c r="E129" s="1" t="str" cm="1">
        <f t="array" ref="E129">_xlfn.IFS(
D129&lt;20,"Light",
D129&lt;50,"Medium",
D129&lt;100,"Heavy",
D129&gt;=100,"Very Heavy")</f>
        <v>Light</v>
      </c>
      <c r="F129" s="2">
        <v>20</v>
      </c>
      <c r="G129" s="2" t="str" cm="1">
        <f t="array" ref="G129">_xlfn.IFS(
F129&lt;50,"Small",
F129&lt;100,"Medium",
F129&lt;150,"Large",
F129&gt;=150,"Very Large"
)</f>
        <v>Small</v>
      </c>
      <c r="H129" s="2" t="s">
        <v>32</v>
      </c>
      <c r="I129" s="2">
        <v>52.240521999999999</v>
      </c>
      <c r="J129" s="2">
        <v>21.057552000000001</v>
      </c>
      <c r="K129" s="2" t="str">
        <f t="shared" si="5"/>
        <v>Available</v>
      </c>
      <c r="L129" s="2" t="s">
        <v>10</v>
      </c>
      <c r="M129" s="3">
        <v>45356</v>
      </c>
      <c r="N129" s="3" t="str">
        <f t="shared" si="6"/>
        <v>March</v>
      </c>
      <c r="O129" s="2" t="s">
        <v>6</v>
      </c>
      <c r="P129" t="str">
        <f t="shared" si="7"/>
        <v>OK</v>
      </c>
    </row>
    <row r="130" spans="1:16" x14ac:dyDescent="0.3">
      <c r="A130" s="2">
        <f t="shared" si="4"/>
        <v>129</v>
      </c>
      <c r="B130" s="2" t="s">
        <v>29</v>
      </c>
      <c r="C130" s="2" t="s">
        <v>7</v>
      </c>
      <c r="D130" s="1">
        <v>0.253</v>
      </c>
      <c r="E130" s="1" t="str" cm="1">
        <f t="array" ref="E130">_xlfn.IFS(
D130&lt;20,"Light",
D130&lt;50,"Medium",
D130&lt;100,"Heavy",
D130&gt;=100,"Very Heavy")</f>
        <v>Light</v>
      </c>
      <c r="F130" s="2">
        <v>20.418848167539199</v>
      </c>
      <c r="G130" s="2" t="str" cm="1">
        <f t="array" ref="G130">_xlfn.IFS(
F130&lt;50,"Small",
F130&lt;100,"Medium",
F130&lt;150,"Large",
F130&gt;=150,"Very Large"
)</f>
        <v>Small</v>
      </c>
      <c r="H130" s="2" t="s">
        <v>32</v>
      </c>
      <c r="I130" s="2">
        <v>47.507002</v>
      </c>
      <c r="J130" s="2">
        <v>18.950091</v>
      </c>
      <c r="K130" s="2" t="str">
        <f t="shared" si="5"/>
        <v>Available</v>
      </c>
      <c r="L130" s="2" t="s">
        <v>10</v>
      </c>
      <c r="M130" s="3">
        <v>45356</v>
      </c>
      <c r="N130" s="3" t="str">
        <f t="shared" si="6"/>
        <v>March</v>
      </c>
      <c r="O130" s="2" t="s">
        <v>6</v>
      </c>
      <c r="P130" t="str">
        <f t="shared" si="7"/>
        <v>OK</v>
      </c>
    </row>
    <row r="131" spans="1:16" x14ac:dyDescent="0.3">
      <c r="A131" s="2">
        <f t="shared" ref="A131:A194" si="8">ROW()-1</f>
        <v>130</v>
      </c>
      <c r="B131" s="2" t="s">
        <v>29</v>
      </c>
      <c r="C131" s="2" t="s">
        <v>7</v>
      </c>
      <c r="D131" s="1">
        <v>0.29299999999999998</v>
      </c>
      <c r="E131" s="1" t="str" cm="1">
        <f t="array" ref="E131">_xlfn.IFS(
D131&lt;20,"Light",
D131&lt;50,"Medium",
D131&lt;100,"Heavy",
D131&gt;=100,"Very Heavy")</f>
        <v>Light</v>
      </c>
      <c r="F131" s="2">
        <v>18</v>
      </c>
      <c r="G131" s="2" t="str" cm="1">
        <f t="array" ref="G131">_xlfn.IFS(
F131&lt;50,"Small",
F131&lt;100,"Medium",
F131&lt;150,"Large",
F131&gt;=150,"Very Large"
)</f>
        <v>Small</v>
      </c>
      <c r="H131" s="2" t="s">
        <v>33</v>
      </c>
      <c r="I131" s="2">
        <v>47.507556999999998</v>
      </c>
      <c r="J131" s="2">
        <v>18.942066000000001</v>
      </c>
      <c r="K131" s="2" t="str">
        <f t="shared" ref="K131:K194" si="9">IF(OR(I131="",J131=""),"Missing Location","Available")</f>
        <v>Available</v>
      </c>
      <c r="L131" s="2" t="s">
        <v>10</v>
      </c>
      <c r="M131" s="3">
        <v>45356</v>
      </c>
      <c r="N131" s="3" t="str">
        <f t="shared" ref="N131:N194" si="10">TEXT(M131,"mmmm")</f>
        <v>March</v>
      </c>
      <c r="O131" s="2" t="s">
        <v>6</v>
      </c>
      <c r="P131" t="str">
        <f t="shared" ref="P131:P194" si="11">IF(OR(B131="",C131="",D131="",E131="",J131=""),"Needs Review","OK")</f>
        <v>OK</v>
      </c>
    </row>
    <row r="132" spans="1:16" x14ac:dyDescent="0.3">
      <c r="A132" s="2">
        <f t="shared" si="8"/>
        <v>131</v>
      </c>
      <c r="B132" s="2" t="s">
        <v>29</v>
      </c>
      <c r="C132" s="2" t="s">
        <v>17</v>
      </c>
      <c r="D132" s="1">
        <v>0.26300000000000001</v>
      </c>
      <c r="E132" s="1" t="str" cm="1">
        <f t="array" ref="E132">_xlfn.IFS(
D132&lt;20,"Light",
D132&lt;50,"Medium",
D132&lt;100,"Heavy",
D132&gt;=100,"Very Heavy")</f>
        <v>Light</v>
      </c>
      <c r="F132" s="2">
        <v>22</v>
      </c>
      <c r="G132" s="2" t="str" cm="1">
        <f t="array" ref="G132">_xlfn.IFS(
F132&lt;50,"Small",
F132&lt;100,"Medium",
F132&lt;150,"Large",
F132&gt;=150,"Very Large"
)</f>
        <v>Small</v>
      </c>
      <c r="H132" s="2" t="s">
        <v>32</v>
      </c>
      <c r="K132" s="2" t="str">
        <f t="shared" si="9"/>
        <v>Missing Location</v>
      </c>
      <c r="L132" s="2" t="s">
        <v>10</v>
      </c>
      <c r="M132" s="3">
        <v>45356</v>
      </c>
      <c r="N132" s="3" t="str">
        <f t="shared" si="10"/>
        <v>March</v>
      </c>
      <c r="O132" s="2" t="s">
        <v>12</v>
      </c>
      <c r="P132" t="str">
        <f t="shared" si="11"/>
        <v>Needs Review</v>
      </c>
    </row>
    <row r="133" spans="1:16" x14ac:dyDescent="0.3">
      <c r="A133" s="2">
        <f t="shared" si="8"/>
        <v>132</v>
      </c>
      <c r="B133" s="2" t="s">
        <v>30</v>
      </c>
      <c r="C133" s="2" t="s">
        <v>15</v>
      </c>
      <c r="D133" s="1">
        <v>0.9</v>
      </c>
      <c r="E133" s="1" t="str" cm="1">
        <f t="array" ref="E133">_xlfn.IFS(
D133&lt;20,"Light",
D133&lt;50,"Medium",
D133&lt;100,"Heavy",
D133&gt;=100,"Very Heavy")</f>
        <v>Light</v>
      </c>
      <c r="F133" s="2">
        <v>19</v>
      </c>
      <c r="G133" s="2" t="str" cm="1">
        <f t="array" ref="G133">_xlfn.IFS(
F133&lt;50,"Small",
F133&lt;100,"Medium",
F133&lt;150,"Large",
F133&gt;=150,"Very Large"
)</f>
        <v>Small</v>
      </c>
      <c r="H133" s="2" t="s">
        <v>33</v>
      </c>
      <c r="I133" s="2">
        <v>50.107284</v>
      </c>
      <c r="J133" s="2">
        <v>14.346126999999999</v>
      </c>
      <c r="K133" s="2" t="str">
        <f t="shared" si="9"/>
        <v>Available</v>
      </c>
      <c r="L133" s="2" t="s">
        <v>10</v>
      </c>
      <c r="M133" s="3">
        <v>45356</v>
      </c>
      <c r="N133" s="3" t="str">
        <f t="shared" si="10"/>
        <v>March</v>
      </c>
      <c r="O133" s="2" t="s">
        <v>14</v>
      </c>
      <c r="P133" t="str">
        <f t="shared" si="11"/>
        <v>OK</v>
      </c>
    </row>
    <row r="134" spans="1:16" x14ac:dyDescent="0.3">
      <c r="A134" s="2">
        <f t="shared" si="8"/>
        <v>133</v>
      </c>
      <c r="B134" s="2" t="s">
        <v>28</v>
      </c>
      <c r="C134" s="2" t="s">
        <v>13</v>
      </c>
      <c r="D134" s="1">
        <v>23</v>
      </c>
      <c r="E134" s="1" t="str" cm="1">
        <f t="array" ref="E134">_xlfn.IFS(
D134&lt;20,"Light",
D134&lt;50,"Medium",
D134&lt;100,"Heavy",
D134&gt;=100,"Very Heavy")</f>
        <v>Medium</v>
      </c>
      <c r="F134" s="2">
        <v>97</v>
      </c>
      <c r="G134" s="2" t="str" cm="1">
        <f t="array" ref="G134">_xlfn.IFS(
F134&lt;50,"Small",
F134&lt;100,"Medium",
F134&lt;150,"Large",
F134&gt;=150,"Very Large"
)</f>
        <v>Medium</v>
      </c>
      <c r="H134" s="2" t="s">
        <v>33</v>
      </c>
      <c r="I134" s="2">
        <v>48.413226000000002</v>
      </c>
      <c r="J134" s="2">
        <v>18.848127999999999</v>
      </c>
      <c r="K134" s="2" t="str">
        <f t="shared" si="9"/>
        <v>Available</v>
      </c>
      <c r="L134" s="2" t="s">
        <v>10</v>
      </c>
      <c r="M134" s="3">
        <v>45356</v>
      </c>
      <c r="N134" s="3" t="str">
        <f t="shared" si="10"/>
        <v>March</v>
      </c>
      <c r="O134" s="2" t="s">
        <v>14</v>
      </c>
      <c r="P134" t="str">
        <f t="shared" si="11"/>
        <v>OK</v>
      </c>
    </row>
    <row r="135" spans="1:16" x14ac:dyDescent="0.3">
      <c r="A135" s="2">
        <f t="shared" si="8"/>
        <v>134</v>
      </c>
      <c r="B135" s="2" t="s">
        <v>29</v>
      </c>
      <c r="C135" s="2" t="s">
        <v>13</v>
      </c>
      <c r="D135" s="1">
        <v>0.33300000000000002</v>
      </c>
      <c r="E135" s="1" t="str" cm="1">
        <f t="array" ref="E135">_xlfn.IFS(
D135&lt;20,"Light",
D135&lt;50,"Medium",
D135&lt;100,"Heavy",
D135&gt;=100,"Very Heavy")</f>
        <v>Light</v>
      </c>
      <c r="F135" s="2">
        <v>23</v>
      </c>
      <c r="G135" s="2" t="str" cm="1">
        <f t="array" ref="G135">_xlfn.IFS(
F135&lt;50,"Small",
F135&lt;100,"Medium",
F135&lt;150,"Large",
F135&gt;=150,"Very Large"
)</f>
        <v>Small</v>
      </c>
      <c r="H135" s="2" t="s">
        <v>32</v>
      </c>
      <c r="I135" s="2">
        <v>48.409022999999998</v>
      </c>
      <c r="J135" s="2">
        <v>18.843990000000002</v>
      </c>
      <c r="K135" s="2" t="str">
        <f t="shared" si="9"/>
        <v>Available</v>
      </c>
      <c r="L135" s="2" t="s">
        <v>10</v>
      </c>
      <c r="M135" s="3">
        <v>45356</v>
      </c>
      <c r="N135" s="3" t="str">
        <f t="shared" si="10"/>
        <v>March</v>
      </c>
      <c r="O135" s="2" t="s">
        <v>14</v>
      </c>
      <c r="P135" t="str">
        <f t="shared" si="11"/>
        <v>OK</v>
      </c>
    </row>
    <row r="136" spans="1:16" x14ac:dyDescent="0.3">
      <c r="A136" s="2">
        <f t="shared" si="8"/>
        <v>135</v>
      </c>
      <c r="B136" s="2" t="s">
        <v>29</v>
      </c>
      <c r="C136" s="2" t="s">
        <v>13</v>
      </c>
      <c r="D136" s="1">
        <v>0.32</v>
      </c>
      <c r="E136" s="1" t="str" cm="1">
        <f t="array" ref="E136">_xlfn.IFS(
D136&lt;20,"Light",
D136&lt;50,"Medium",
D136&lt;100,"Heavy",
D136&gt;=100,"Very Heavy")</f>
        <v>Light</v>
      </c>
      <c r="F136" s="2">
        <v>17</v>
      </c>
      <c r="G136" s="2" t="str" cm="1">
        <f t="array" ref="G136">_xlfn.IFS(
F136&lt;50,"Small",
F136&lt;100,"Medium",
F136&lt;150,"Large",
F136&gt;=150,"Very Large"
)</f>
        <v>Small</v>
      </c>
      <c r="H136" s="2" t="s">
        <v>32</v>
      </c>
      <c r="I136" s="2">
        <v>48.406733000000003</v>
      </c>
      <c r="J136" s="2">
        <v>18.838754000000002</v>
      </c>
      <c r="K136" s="2" t="str">
        <f t="shared" si="9"/>
        <v>Available</v>
      </c>
      <c r="L136" s="2" t="s">
        <v>10</v>
      </c>
      <c r="M136" s="3">
        <v>45356</v>
      </c>
      <c r="N136" s="3" t="str">
        <f t="shared" si="10"/>
        <v>March</v>
      </c>
      <c r="O136" s="2" t="s">
        <v>14</v>
      </c>
      <c r="P136" t="str">
        <f t="shared" si="11"/>
        <v>OK</v>
      </c>
    </row>
    <row r="137" spans="1:16" x14ac:dyDescent="0.3">
      <c r="A137" s="2">
        <f t="shared" si="8"/>
        <v>136</v>
      </c>
      <c r="B137" s="2" t="s">
        <v>29</v>
      </c>
      <c r="C137" s="2" t="s">
        <v>13</v>
      </c>
      <c r="D137" s="1">
        <v>0.26600000000000001</v>
      </c>
      <c r="E137" s="1" t="str" cm="1">
        <f t="array" ref="E137">_xlfn.IFS(
D137&lt;20,"Light",
D137&lt;50,"Medium",
D137&lt;100,"Heavy",
D137&gt;=100,"Very Heavy")</f>
        <v>Light</v>
      </c>
      <c r="F137" s="2">
        <v>18</v>
      </c>
      <c r="G137" s="2" t="str" cm="1">
        <f t="array" ref="G137">_xlfn.IFS(
F137&lt;50,"Small",
F137&lt;100,"Medium",
F137&lt;150,"Large",
F137&gt;=150,"Very Large"
)</f>
        <v>Small</v>
      </c>
      <c r="H137" s="2" t="s">
        <v>33</v>
      </c>
      <c r="I137" s="2">
        <v>48.404589999999999</v>
      </c>
      <c r="J137" s="2">
        <v>18.846848999999999</v>
      </c>
      <c r="K137" s="2" t="str">
        <f t="shared" si="9"/>
        <v>Available</v>
      </c>
      <c r="L137" s="2" t="s">
        <v>10</v>
      </c>
      <c r="M137" s="3">
        <v>45356</v>
      </c>
      <c r="N137" s="3" t="str">
        <f t="shared" si="10"/>
        <v>March</v>
      </c>
      <c r="O137" s="2" t="s">
        <v>14</v>
      </c>
      <c r="P137" t="str">
        <f t="shared" si="11"/>
        <v>OK</v>
      </c>
    </row>
    <row r="138" spans="1:16" x14ac:dyDescent="0.3">
      <c r="A138" s="2">
        <f t="shared" si="8"/>
        <v>137</v>
      </c>
      <c r="B138" s="2" t="s">
        <v>29</v>
      </c>
      <c r="C138" s="2" t="s">
        <v>13</v>
      </c>
      <c r="D138" s="1">
        <v>0.30599999999999999</v>
      </c>
      <c r="E138" s="1" t="str" cm="1">
        <f t="array" ref="E138">_xlfn.IFS(
D138&lt;20,"Light",
D138&lt;50,"Medium",
D138&lt;100,"Heavy",
D138&gt;=100,"Very Heavy")</f>
        <v>Light</v>
      </c>
      <c r="F138" s="2">
        <v>22</v>
      </c>
      <c r="G138" s="2" t="str" cm="1">
        <f t="array" ref="G138">_xlfn.IFS(
F138&lt;50,"Small",
F138&lt;100,"Medium",
F138&lt;150,"Large",
F138&gt;=150,"Very Large"
)</f>
        <v>Small</v>
      </c>
      <c r="H138" s="2" t="s">
        <v>32</v>
      </c>
      <c r="I138" s="2">
        <v>48.408318000000001</v>
      </c>
      <c r="J138" s="2">
        <v>18.844383000000001</v>
      </c>
      <c r="K138" s="2" t="str">
        <f t="shared" si="9"/>
        <v>Available</v>
      </c>
      <c r="L138" s="2" t="s">
        <v>10</v>
      </c>
      <c r="M138" s="3">
        <v>45356</v>
      </c>
      <c r="N138" s="3" t="str">
        <f t="shared" si="10"/>
        <v>March</v>
      </c>
      <c r="O138" s="2" t="s">
        <v>14</v>
      </c>
      <c r="P138" t="str">
        <f t="shared" si="11"/>
        <v>OK</v>
      </c>
    </row>
    <row r="139" spans="1:16" x14ac:dyDescent="0.3">
      <c r="A139" s="2">
        <f t="shared" si="8"/>
        <v>138</v>
      </c>
      <c r="B139" s="2" t="s">
        <v>29</v>
      </c>
      <c r="C139" s="2" t="s">
        <v>13</v>
      </c>
      <c r="D139" s="1">
        <v>0.311</v>
      </c>
      <c r="E139" s="1" t="str" cm="1">
        <f t="array" ref="E139">_xlfn.IFS(
D139&lt;20,"Light",
D139&lt;50,"Medium",
D139&lt;100,"Heavy",
D139&gt;=100,"Very Heavy")</f>
        <v>Light</v>
      </c>
      <c r="F139" s="2">
        <v>22</v>
      </c>
      <c r="G139" s="2" t="str" cm="1">
        <f t="array" ref="G139">_xlfn.IFS(
F139&lt;50,"Small",
F139&lt;100,"Medium",
F139&lt;150,"Large",
F139&gt;=150,"Very Large"
)</f>
        <v>Small</v>
      </c>
      <c r="H139" s="2" t="s">
        <v>32</v>
      </c>
      <c r="I139" s="2">
        <v>48.412458000000001</v>
      </c>
      <c r="J139" s="2">
        <v>18.832425000000001</v>
      </c>
      <c r="K139" s="2" t="str">
        <f t="shared" si="9"/>
        <v>Available</v>
      </c>
      <c r="L139" s="2" t="s">
        <v>10</v>
      </c>
      <c r="M139" s="3">
        <v>45356</v>
      </c>
      <c r="N139" s="3" t="str">
        <f t="shared" si="10"/>
        <v>March</v>
      </c>
      <c r="O139" s="2" t="s">
        <v>14</v>
      </c>
      <c r="P139" t="str">
        <f t="shared" si="11"/>
        <v>OK</v>
      </c>
    </row>
    <row r="140" spans="1:16" x14ac:dyDescent="0.3">
      <c r="A140" s="2">
        <f t="shared" si="8"/>
        <v>139</v>
      </c>
      <c r="B140" s="2" t="s">
        <v>29</v>
      </c>
      <c r="C140" s="2" t="s">
        <v>13</v>
      </c>
      <c r="D140" s="1">
        <v>0.29099999999999998</v>
      </c>
      <c r="E140" s="1" t="str" cm="1">
        <f t="array" ref="E140">_xlfn.IFS(
D140&lt;20,"Light",
D140&lt;50,"Medium",
D140&lt;100,"Heavy",
D140&gt;=100,"Very Heavy")</f>
        <v>Light</v>
      </c>
      <c r="F140" s="2">
        <v>22</v>
      </c>
      <c r="G140" s="2" t="str" cm="1">
        <f t="array" ref="G140">_xlfn.IFS(
F140&lt;50,"Small",
F140&lt;100,"Medium",
F140&lt;150,"Large",
F140&gt;=150,"Very Large"
)</f>
        <v>Small</v>
      </c>
      <c r="H140" s="2" t="s">
        <v>33</v>
      </c>
      <c r="I140" s="2">
        <v>48.406551</v>
      </c>
      <c r="J140" s="2">
        <v>18.837136999999998</v>
      </c>
      <c r="K140" s="2" t="str">
        <f t="shared" si="9"/>
        <v>Available</v>
      </c>
      <c r="L140" s="2" t="s">
        <v>10</v>
      </c>
      <c r="M140" s="3">
        <v>45356</v>
      </c>
      <c r="N140" s="3" t="str">
        <f t="shared" si="10"/>
        <v>March</v>
      </c>
      <c r="O140" s="2" t="s">
        <v>14</v>
      </c>
      <c r="P140" t="str">
        <f t="shared" si="11"/>
        <v>OK</v>
      </c>
    </row>
    <row r="141" spans="1:16" x14ac:dyDescent="0.3">
      <c r="A141" s="2">
        <f t="shared" si="8"/>
        <v>140</v>
      </c>
      <c r="B141" s="2" t="s">
        <v>29</v>
      </c>
      <c r="C141" s="2" t="s">
        <v>13</v>
      </c>
      <c r="D141" s="1">
        <v>0.25900000000000001</v>
      </c>
      <c r="E141" s="1" t="str" cm="1">
        <f t="array" ref="E141">_xlfn.IFS(
D141&lt;20,"Light",
D141&lt;50,"Medium",
D141&lt;100,"Heavy",
D141&gt;=100,"Very Heavy")</f>
        <v>Light</v>
      </c>
      <c r="F141" s="2">
        <v>19</v>
      </c>
      <c r="G141" s="2" t="str" cm="1">
        <f t="array" ref="G141">_xlfn.IFS(
F141&lt;50,"Small",
F141&lt;100,"Medium",
F141&lt;150,"Large",
F141&gt;=150,"Very Large"
)</f>
        <v>Small</v>
      </c>
      <c r="H141" s="2" t="s">
        <v>32</v>
      </c>
      <c r="I141" s="2">
        <v>48.405515999999999</v>
      </c>
      <c r="J141" s="2">
        <v>18.850994</v>
      </c>
      <c r="K141" s="2" t="str">
        <f t="shared" si="9"/>
        <v>Available</v>
      </c>
      <c r="L141" s="2" t="s">
        <v>10</v>
      </c>
      <c r="M141" s="3">
        <v>45356</v>
      </c>
      <c r="N141" s="3" t="str">
        <f t="shared" si="10"/>
        <v>March</v>
      </c>
      <c r="O141" s="2" t="s">
        <v>14</v>
      </c>
      <c r="P141" t="str">
        <f t="shared" si="11"/>
        <v>OK</v>
      </c>
    </row>
    <row r="142" spans="1:16" x14ac:dyDescent="0.3">
      <c r="A142" s="2">
        <f t="shared" si="8"/>
        <v>141</v>
      </c>
      <c r="B142" s="2" t="s">
        <v>27</v>
      </c>
      <c r="C142" s="2" t="s">
        <v>4</v>
      </c>
      <c r="D142" s="1">
        <v>454</v>
      </c>
      <c r="E142" s="1" t="str" cm="1">
        <f t="array" ref="E142">_xlfn.IFS(
D142&lt;20,"Light",
D142&lt;50,"Medium",
D142&lt;100,"Heavy",
D142&gt;=100,"Very Heavy")</f>
        <v>Very Heavy</v>
      </c>
      <c r="F142" s="2">
        <v>225</v>
      </c>
      <c r="G142" s="2" t="str" cm="1">
        <f t="array" ref="G142">_xlfn.IFS(
F142&lt;50,"Small",
F142&lt;100,"Medium",
F142&lt;150,"Large",
F142&gt;=150,"Very Large"
)</f>
        <v>Very Large</v>
      </c>
      <c r="H142" s="2" t="s">
        <v>33</v>
      </c>
      <c r="I142" s="2">
        <v>52.834423000000001</v>
      </c>
      <c r="J142" s="2">
        <v>23.827103000000001</v>
      </c>
      <c r="K142" s="2" t="str">
        <f t="shared" si="9"/>
        <v>Available</v>
      </c>
      <c r="L142" s="2" t="s">
        <v>10</v>
      </c>
      <c r="M142" s="3">
        <v>45357</v>
      </c>
      <c r="N142" s="3" t="str">
        <f t="shared" si="10"/>
        <v>March</v>
      </c>
      <c r="O142" s="2" t="s">
        <v>6</v>
      </c>
      <c r="P142" t="str">
        <f t="shared" si="11"/>
        <v>OK</v>
      </c>
    </row>
    <row r="143" spans="1:16" x14ac:dyDescent="0.3">
      <c r="A143" s="2">
        <f t="shared" si="8"/>
        <v>142</v>
      </c>
      <c r="B143" s="2" t="s">
        <v>30</v>
      </c>
      <c r="C143" s="2" t="s">
        <v>4</v>
      </c>
      <c r="D143" s="1">
        <v>1.1000000000000001</v>
      </c>
      <c r="E143" s="1" t="str" cm="1">
        <f t="array" ref="E143">_xlfn.IFS(
D143&lt;20,"Light",
D143&lt;50,"Medium",
D143&lt;100,"Heavy",
D143&gt;=100,"Very Heavy")</f>
        <v>Light</v>
      </c>
      <c r="F143" s="2">
        <v>22</v>
      </c>
      <c r="G143" s="2" t="str" cm="1">
        <f t="array" ref="G143">_xlfn.IFS(
F143&lt;50,"Small",
F143&lt;100,"Medium",
F143&lt;150,"Large",
F143&gt;=150,"Very Large"
)</f>
        <v>Small</v>
      </c>
      <c r="H143" s="2" t="s">
        <v>33</v>
      </c>
      <c r="I143" s="2">
        <v>52.214520999999998</v>
      </c>
      <c r="J143" s="2">
        <v>21.031889</v>
      </c>
      <c r="K143" s="2" t="str">
        <f t="shared" si="9"/>
        <v>Available</v>
      </c>
      <c r="L143" s="2" t="s">
        <v>10</v>
      </c>
      <c r="M143" s="3">
        <v>45357</v>
      </c>
      <c r="N143" s="3" t="str">
        <f t="shared" si="10"/>
        <v>March</v>
      </c>
      <c r="O143" s="2" t="s">
        <v>6</v>
      </c>
      <c r="P143" t="str">
        <f t="shared" si="11"/>
        <v>OK</v>
      </c>
    </row>
    <row r="144" spans="1:16" x14ac:dyDescent="0.3">
      <c r="A144" s="2">
        <f t="shared" si="8"/>
        <v>143</v>
      </c>
      <c r="B144" s="2" t="s">
        <v>30</v>
      </c>
      <c r="C144" s="2" t="s">
        <v>4</v>
      </c>
      <c r="D144" s="1">
        <v>0.9</v>
      </c>
      <c r="E144" s="1" t="str" cm="1">
        <f t="array" ref="E144">_xlfn.IFS(
D144&lt;20,"Light",
D144&lt;50,"Medium",
D144&lt;100,"Heavy",
D144&gt;=100,"Very Heavy")</f>
        <v>Light</v>
      </c>
      <c r="F144" s="2">
        <v>21</v>
      </c>
      <c r="G144" s="2" t="str" cm="1">
        <f t="array" ref="G144">_xlfn.IFS(
F144&lt;50,"Small",
F144&lt;100,"Medium",
F144&lt;150,"Large",
F144&gt;=150,"Very Large"
)</f>
        <v>Small</v>
      </c>
      <c r="H144" s="2" t="s">
        <v>32</v>
      </c>
      <c r="I144" s="2">
        <v>52.214934</v>
      </c>
      <c r="J144" s="2">
        <v>21.032105999999999</v>
      </c>
      <c r="K144" s="2" t="str">
        <f t="shared" si="9"/>
        <v>Available</v>
      </c>
      <c r="L144" s="2" t="s">
        <v>10</v>
      </c>
      <c r="M144" s="3">
        <v>45357</v>
      </c>
      <c r="N144" s="3" t="str">
        <f t="shared" si="10"/>
        <v>March</v>
      </c>
      <c r="O144" s="2" t="s">
        <v>6</v>
      </c>
      <c r="P144" t="str">
        <f t="shared" si="11"/>
        <v>OK</v>
      </c>
    </row>
    <row r="145" spans="1:16" x14ac:dyDescent="0.3">
      <c r="A145" s="2">
        <f t="shared" si="8"/>
        <v>144</v>
      </c>
      <c r="B145" s="2" t="s">
        <v>28</v>
      </c>
      <c r="C145" s="2" t="s">
        <v>7</v>
      </c>
      <c r="D145" s="1">
        <v>18</v>
      </c>
      <c r="E145" s="1" t="str" cm="1">
        <f t="array" ref="E145">_xlfn.IFS(
D145&lt;20,"Light",
D145&lt;50,"Medium",
D145&lt;100,"Heavy",
D145&gt;=100,"Very Heavy")</f>
        <v>Light</v>
      </c>
      <c r="F145" s="2">
        <v>81</v>
      </c>
      <c r="G145" s="2" t="str" cm="1">
        <f t="array" ref="G145">_xlfn.IFS(
F145&lt;50,"Small",
F145&lt;100,"Medium",
F145&lt;150,"Large",
F145&gt;=150,"Very Large"
)</f>
        <v>Medium</v>
      </c>
      <c r="H145" s="2" t="s">
        <v>33</v>
      </c>
      <c r="I145" s="2">
        <v>48.511532000000003</v>
      </c>
      <c r="J145" s="2">
        <v>20.539111999999999</v>
      </c>
      <c r="K145" s="2" t="str">
        <f t="shared" si="9"/>
        <v>Available</v>
      </c>
      <c r="L145" s="2" t="s">
        <v>10</v>
      </c>
      <c r="M145" s="3">
        <v>45357</v>
      </c>
      <c r="N145" s="3" t="str">
        <f t="shared" si="10"/>
        <v>March</v>
      </c>
      <c r="O145" s="2" t="s">
        <v>6</v>
      </c>
      <c r="P145" t="str">
        <f t="shared" si="11"/>
        <v>OK</v>
      </c>
    </row>
    <row r="146" spans="1:16" x14ac:dyDescent="0.3">
      <c r="A146" s="2">
        <f t="shared" si="8"/>
        <v>145</v>
      </c>
      <c r="B146" s="2" t="s">
        <v>29</v>
      </c>
      <c r="C146" s="2" t="s">
        <v>4</v>
      </c>
      <c r="D146" s="1">
        <v>0.34300000000000003</v>
      </c>
      <c r="E146" s="1" t="str" cm="1">
        <f t="array" ref="E146">_xlfn.IFS(
D146&lt;20,"Light",
D146&lt;50,"Medium",
D146&lt;100,"Heavy",
D146&gt;=100,"Very Heavy")</f>
        <v>Light</v>
      </c>
      <c r="F146" s="2">
        <v>23</v>
      </c>
      <c r="G146" s="2" t="str" cm="1">
        <f t="array" ref="G146">_xlfn.IFS(
F146&lt;50,"Small",
F146&lt;100,"Medium",
F146&lt;150,"Large",
F146&gt;=150,"Very Large"
)</f>
        <v>Small</v>
      </c>
      <c r="H146" s="2" t="s">
        <v>32</v>
      </c>
      <c r="I146" s="2">
        <v>52.241638000000002</v>
      </c>
      <c r="J146" s="2">
        <v>21.057328999999999</v>
      </c>
      <c r="K146" s="2" t="str">
        <f t="shared" si="9"/>
        <v>Available</v>
      </c>
      <c r="L146" s="2" t="s">
        <v>10</v>
      </c>
      <c r="M146" s="3">
        <v>45357</v>
      </c>
      <c r="N146" s="3" t="str">
        <f t="shared" si="10"/>
        <v>March</v>
      </c>
      <c r="O146" s="2" t="s">
        <v>6</v>
      </c>
      <c r="P146" t="str">
        <f t="shared" si="11"/>
        <v>OK</v>
      </c>
    </row>
    <row r="147" spans="1:16" x14ac:dyDescent="0.3">
      <c r="A147" s="2">
        <f t="shared" si="8"/>
        <v>146</v>
      </c>
      <c r="B147" s="2" t="s">
        <v>29</v>
      </c>
      <c r="C147" s="2" t="s">
        <v>4</v>
      </c>
      <c r="D147" s="1">
        <v>0.27400000000000002</v>
      </c>
      <c r="E147" s="1" t="str" cm="1">
        <f t="array" ref="E147">_xlfn.IFS(
D147&lt;20,"Light",
D147&lt;50,"Medium",
D147&lt;100,"Heavy",
D147&gt;=100,"Very Heavy")</f>
        <v>Light</v>
      </c>
      <c r="F147" s="2">
        <v>22</v>
      </c>
      <c r="G147" s="2" t="str" cm="1">
        <f t="array" ref="G147">_xlfn.IFS(
F147&lt;50,"Small",
F147&lt;100,"Medium",
F147&lt;150,"Large",
F147&gt;=150,"Very Large"
)</f>
        <v>Small</v>
      </c>
      <c r="H147" s="2" t="s">
        <v>33</v>
      </c>
      <c r="I147" s="2">
        <v>52.241235000000003</v>
      </c>
      <c r="J147" s="2">
        <v>21.057355999999999</v>
      </c>
      <c r="K147" s="2" t="str">
        <f t="shared" si="9"/>
        <v>Available</v>
      </c>
      <c r="L147" s="2" t="s">
        <v>10</v>
      </c>
      <c r="M147" s="3">
        <v>45357</v>
      </c>
      <c r="N147" s="3" t="str">
        <f t="shared" si="10"/>
        <v>March</v>
      </c>
      <c r="O147" s="2" t="s">
        <v>6</v>
      </c>
      <c r="P147" t="str">
        <f t="shared" si="11"/>
        <v>OK</v>
      </c>
    </row>
    <row r="148" spans="1:16" x14ac:dyDescent="0.3">
      <c r="A148" s="2">
        <f t="shared" si="8"/>
        <v>147</v>
      </c>
      <c r="B148" s="2" t="s">
        <v>30</v>
      </c>
      <c r="C148" s="2" t="s">
        <v>15</v>
      </c>
      <c r="D148" s="1">
        <v>0.6</v>
      </c>
      <c r="E148" s="1" t="str" cm="1">
        <f t="array" ref="E148">_xlfn.IFS(
D148&lt;20,"Light",
D148&lt;50,"Medium",
D148&lt;100,"Heavy",
D148&gt;=100,"Very Heavy")</f>
        <v>Light</v>
      </c>
      <c r="F148" s="2">
        <v>17</v>
      </c>
      <c r="G148" s="2" t="str" cm="1">
        <f t="array" ref="G148">_xlfn.IFS(
F148&lt;50,"Small",
F148&lt;100,"Medium",
F148&lt;150,"Large",
F148&gt;=150,"Very Large"
)</f>
        <v>Small</v>
      </c>
      <c r="H148" s="2" t="s">
        <v>33</v>
      </c>
      <c r="I148" s="2">
        <v>50.106941999999997</v>
      </c>
      <c r="J148" s="2">
        <v>14.348502</v>
      </c>
      <c r="K148" s="2" t="str">
        <f t="shared" si="9"/>
        <v>Available</v>
      </c>
      <c r="L148" s="2" t="s">
        <v>10</v>
      </c>
      <c r="M148" s="3">
        <v>45357</v>
      </c>
      <c r="N148" s="3" t="str">
        <f t="shared" si="10"/>
        <v>March</v>
      </c>
      <c r="O148" s="2" t="s">
        <v>14</v>
      </c>
      <c r="P148" t="str">
        <f t="shared" si="11"/>
        <v>OK</v>
      </c>
    </row>
    <row r="149" spans="1:16" x14ac:dyDescent="0.3">
      <c r="A149" s="2">
        <f t="shared" si="8"/>
        <v>148</v>
      </c>
      <c r="B149" s="2" t="s">
        <v>30</v>
      </c>
      <c r="C149" s="2" t="s">
        <v>15</v>
      </c>
      <c r="D149" s="1">
        <v>0.4</v>
      </c>
      <c r="E149" s="1" t="str" cm="1">
        <f t="array" ref="E149">_xlfn.IFS(
D149&lt;20,"Light",
D149&lt;50,"Medium",
D149&lt;100,"Heavy",
D149&gt;=100,"Very Heavy")</f>
        <v>Light</v>
      </c>
      <c r="F149" s="2">
        <v>12</v>
      </c>
      <c r="G149" s="2" t="str" cm="1">
        <f t="array" ref="G149">_xlfn.IFS(
F149&lt;50,"Small",
F149&lt;100,"Medium",
F149&lt;150,"Large",
F149&gt;=150,"Very Large"
)</f>
        <v>Small</v>
      </c>
      <c r="H149" s="2" t="s">
        <v>33</v>
      </c>
      <c r="I149" s="2">
        <v>50.107222999999998</v>
      </c>
      <c r="J149" s="2">
        <v>14.34732</v>
      </c>
      <c r="K149" s="2" t="str">
        <f t="shared" si="9"/>
        <v>Available</v>
      </c>
      <c r="L149" s="2" t="s">
        <v>10</v>
      </c>
      <c r="M149" s="3">
        <v>45357</v>
      </c>
      <c r="N149" s="3" t="str">
        <f t="shared" si="10"/>
        <v>March</v>
      </c>
      <c r="O149" s="2" t="s">
        <v>14</v>
      </c>
      <c r="P149" t="str">
        <f t="shared" si="11"/>
        <v>OK</v>
      </c>
    </row>
    <row r="150" spans="1:16" x14ac:dyDescent="0.3">
      <c r="A150" s="2">
        <f t="shared" si="8"/>
        <v>149</v>
      </c>
      <c r="B150" s="2" t="s">
        <v>30</v>
      </c>
      <c r="C150" s="2" t="s">
        <v>15</v>
      </c>
      <c r="D150" s="1">
        <v>1.1000000000000001</v>
      </c>
      <c r="E150" s="1" t="str" cm="1">
        <f t="array" ref="E150">_xlfn.IFS(
D150&lt;20,"Light",
D150&lt;50,"Medium",
D150&lt;100,"Heavy",
D150&gt;=100,"Very Heavy")</f>
        <v>Light</v>
      </c>
      <c r="F150" s="2">
        <v>26</v>
      </c>
      <c r="G150" s="2" t="str" cm="1">
        <f t="array" ref="G150">_xlfn.IFS(
F150&lt;50,"Small",
F150&lt;100,"Medium",
F150&lt;150,"Large",
F150&gt;=150,"Very Large"
)</f>
        <v>Small</v>
      </c>
      <c r="H150" s="2" t="s">
        <v>32</v>
      </c>
      <c r="I150" s="2">
        <v>50.106378999999997</v>
      </c>
      <c r="J150" s="2">
        <v>14.347645</v>
      </c>
      <c r="K150" s="2" t="str">
        <f t="shared" si="9"/>
        <v>Available</v>
      </c>
      <c r="L150" s="2" t="s">
        <v>10</v>
      </c>
      <c r="M150" s="3">
        <v>45357</v>
      </c>
      <c r="N150" s="3" t="str">
        <f t="shared" si="10"/>
        <v>March</v>
      </c>
      <c r="O150" s="2" t="s">
        <v>14</v>
      </c>
      <c r="P150" t="str">
        <f t="shared" si="11"/>
        <v>OK</v>
      </c>
    </row>
    <row r="151" spans="1:16" x14ac:dyDescent="0.3">
      <c r="A151" s="2">
        <f t="shared" si="8"/>
        <v>150</v>
      </c>
      <c r="B151" s="2" t="s">
        <v>30</v>
      </c>
      <c r="C151" s="2" t="s">
        <v>15</v>
      </c>
      <c r="D151" s="1">
        <v>0.8</v>
      </c>
      <c r="E151" s="1" t="str" cm="1">
        <f t="array" ref="E151">_xlfn.IFS(
D151&lt;20,"Light",
D151&lt;50,"Medium",
D151&lt;100,"Heavy",
D151&gt;=100,"Very Heavy")</f>
        <v>Light</v>
      </c>
      <c r="F151" s="2">
        <v>22</v>
      </c>
      <c r="G151" s="2" t="str" cm="1">
        <f t="array" ref="G151">_xlfn.IFS(
F151&lt;50,"Small",
F151&lt;100,"Medium",
F151&lt;150,"Large",
F151&gt;=150,"Very Large"
)</f>
        <v>Small</v>
      </c>
      <c r="H151" s="2" t="s">
        <v>32</v>
      </c>
      <c r="I151" s="2">
        <v>50.106579000000004</v>
      </c>
      <c r="J151" s="2">
        <v>14.346283</v>
      </c>
      <c r="K151" s="2" t="str">
        <f t="shared" si="9"/>
        <v>Available</v>
      </c>
      <c r="L151" s="2" t="s">
        <v>10</v>
      </c>
      <c r="M151" s="3">
        <v>45357</v>
      </c>
      <c r="N151" s="3" t="str">
        <f t="shared" si="10"/>
        <v>March</v>
      </c>
      <c r="O151" s="2" t="s">
        <v>14</v>
      </c>
      <c r="P151" t="str">
        <f t="shared" si="11"/>
        <v>OK</v>
      </c>
    </row>
    <row r="152" spans="1:16" x14ac:dyDescent="0.3">
      <c r="A152" s="2">
        <f t="shared" si="8"/>
        <v>151</v>
      </c>
      <c r="B152" s="2" t="s">
        <v>29</v>
      </c>
      <c r="C152" s="2" t="s">
        <v>13</v>
      </c>
      <c r="D152" s="1">
        <v>0.33400000000000002</v>
      </c>
      <c r="E152" s="1" t="str" cm="1">
        <f t="array" ref="E152">_xlfn.IFS(
D152&lt;20,"Light",
D152&lt;50,"Medium",
D152&lt;100,"Heavy",
D152&gt;=100,"Very Heavy")</f>
        <v>Light</v>
      </c>
      <c r="F152" s="2">
        <v>21</v>
      </c>
      <c r="G152" s="2" t="str" cm="1">
        <f t="array" ref="G152">_xlfn.IFS(
F152&lt;50,"Small",
F152&lt;100,"Medium",
F152&lt;150,"Large",
F152&gt;=150,"Very Large"
)</f>
        <v>Small</v>
      </c>
      <c r="H152" s="2" t="s">
        <v>32</v>
      </c>
      <c r="I152" s="2">
        <v>48.188008000000004</v>
      </c>
      <c r="J152" s="2">
        <v>17.085311999999998</v>
      </c>
      <c r="K152" s="2" t="str">
        <f t="shared" si="9"/>
        <v>Available</v>
      </c>
      <c r="L152" s="2" t="s">
        <v>10</v>
      </c>
      <c r="M152" s="3">
        <v>45357</v>
      </c>
      <c r="N152" s="3" t="str">
        <f t="shared" si="10"/>
        <v>March</v>
      </c>
      <c r="O152" s="2" t="s">
        <v>14</v>
      </c>
      <c r="P152" t="str">
        <f t="shared" si="11"/>
        <v>OK</v>
      </c>
    </row>
    <row r="153" spans="1:16" x14ac:dyDescent="0.3">
      <c r="A153" s="2">
        <f t="shared" si="8"/>
        <v>152</v>
      </c>
      <c r="B153" s="2" t="s">
        <v>29</v>
      </c>
      <c r="C153" s="2" t="s">
        <v>13</v>
      </c>
      <c r="D153" s="1">
        <v>0.307</v>
      </c>
      <c r="E153" s="1" t="str" cm="1">
        <f t="array" ref="E153">_xlfn.IFS(
D153&lt;20,"Light",
D153&lt;50,"Medium",
D153&lt;100,"Heavy",
D153&gt;=100,"Very Heavy")</f>
        <v>Light</v>
      </c>
      <c r="F153" s="2">
        <v>23</v>
      </c>
      <c r="G153" s="2" t="str" cm="1">
        <f t="array" ref="G153">_xlfn.IFS(
F153&lt;50,"Small",
F153&lt;100,"Medium",
F153&lt;150,"Large",
F153&gt;=150,"Very Large"
)</f>
        <v>Small</v>
      </c>
      <c r="H153" s="2" t="s">
        <v>33</v>
      </c>
      <c r="I153" s="2">
        <v>48.185298000000003</v>
      </c>
      <c r="J153" s="2">
        <v>17.084071999999999</v>
      </c>
      <c r="K153" s="2" t="str">
        <f t="shared" si="9"/>
        <v>Available</v>
      </c>
      <c r="L153" s="2" t="s">
        <v>10</v>
      </c>
      <c r="M153" s="3">
        <v>45357</v>
      </c>
      <c r="N153" s="3" t="str">
        <f t="shared" si="10"/>
        <v>March</v>
      </c>
      <c r="O153" s="2" t="s">
        <v>14</v>
      </c>
      <c r="P153" t="str">
        <f t="shared" si="11"/>
        <v>OK</v>
      </c>
    </row>
    <row r="154" spans="1:16" x14ac:dyDescent="0.3">
      <c r="A154" s="2">
        <f t="shared" si="8"/>
        <v>153</v>
      </c>
      <c r="B154" s="2" t="s">
        <v>27</v>
      </c>
      <c r="C154" s="2" t="s">
        <v>4</v>
      </c>
      <c r="D154" s="1">
        <v>862</v>
      </c>
      <c r="E154" s="1" t="str" cm="1">
        <f t="array" ref="E154">_xlfn.IFS(
D154&lt;20,"Light",
D154&lt;50,"Medium",
D154&lt;100,"Heavy",
D154&gt;=100,"Very Heavy")</f>
        <v>Very Heavy</v>
      </c>
      <c r="F154" s="2">
        <v>312</v>
      </c>
      <c r="G154" s="2" t="str" cm="1">
        <f t="array" ref="G154">_xlfn.IFS(
F154&lt;50,"Small",
F154&lt;100,"Medium",
F154&lt;150,"Large",
F154&gt;=150,"Very Large"
)</f>
        <v>Very Large</v>
      </c>
      <c r="H154" s="2" t="s">
        <v>32</v>
      </c>
      <c r="I154" s="2">
        <v>52.831879000000001</v>
      </c>
      <c r="J154" s="2">
        <v>23.826297</v>
      </c>
      <c r="K154" s="2" t="str">
        <f t="shared" si="9"/>
        <v>Available</v>
      </c>
      <c r="L154" s="2" t="s">
        <v>10</v>
      </c>
      <c r="M154" s="3">
        <v>45358</v>
      </c>
      <c r="N154" s="3" t="str">
        <f t="shared" si="10"/>
        <v>March</v>
      </c>
      <c r="O154" s="2" t="s">
        <v>6</v>
      </c>
      <c r="P154" t="str">
        <f t="shared" si="11"/>
        <v>OK</v>
      </c>
    </row>
    <row r="155" spans="1:16" x14ac:dyDescent="0.3">
      <c r="A155" s="2">
        <f t="shared" si="8"/>
        <v>154</v>
      </c>
      <c r="B155" s="2" t="s">
        <v>30</v>
      </c>
      <c r="C155" s="2" t="s">
        <v>7</v>
      </c>
      <c r="D155" s="1">
        <v>0.74592592592592599</v>
      </c>
      <c r="E155" s="1" t="str" cm="1">
        <f t="array" ref="E155">_xlfn.IFS(
D155&lt;20,"Light",
D155&lt;50,"Medium",
D155&lt;100,"Heavy",
D155&gt;=100,"Very Heavy")</f>
        <v>Light</v>
      </c>
      <c r="F155" s="2">
        <v>18.410447761194</v>
      </c>
      <c r="G155" s="2" t="str" cm="1">
        <f t="array" ref="G155">_xlfn.IFS(
F155&lt;50,"Small",
F155&lt;100,"Medium",
F155&lt;150,"Large",
F155&gt;=150,"Very Large"
)</f>
        <v>Small</v>
      </c>
      <c r="H155" s="2" t="s">
        <v>33</v>
      </c>
      <c r="I155" s="2">
        <v>48.506205999999999</v>
      </c>
      <c r="J155" s="2">
        <v>20.565308000000002</v>
      </c>
      <c r="K155" s="2" t="str">
        <f t="shared" si="9"/>
        <v>Available</v>
      </c>
      <c r="L155" s="2" t="s">
        <v>10</v>
      </c>
      <c r="M155" s="3">
        <v>45358</v>
      </c>
      <c r="N155" s="3" t="str">
        <f t="shared" si="10"/>
        <v>March</v>
      </c>
      <c r="O155" s="2" t="s">
        <v>6</v>
      </c>
      <c r="P155" t="str">
        <f t="shared" si="11"/>
        <v>OK</v>
      </c>
    </row>
    <row r="156" spans="1:16" x14ac:dyDescent="0.3">
      <c r="A156" s="2">
        <f t="shared" si="8"/>
        <v>155</v>
      </c>
      <c r="B156" s="2" t="s">
        <v>30</v>
      </c>
      <c r="C156" s="2" t="s">
        <v>7</v>
      </c>
      <c r="D156" s="1">
        <v>0.5</v>
      </c>
      <c r="E156" s="1" t="str" cm="1">
        <f t="array" ref="E156">_xlfn.IFS(
D156&lt;20,"Light",
D156&lt;50,"Medium",
D156&lt;100,"Heavy",
D156&gt;=100,"Very Heavy")</f>
        <v>Light</v>
      </c>
      <c r="F156" s="2">
        <v>16</v>
      </c>
      <c r="G156" s="2" t="str" cm="1">
        <f t="array" ref="G156">_xlfn.IFS(
F156&lt;50,"Small",
F156&lt;100,"Medium",
F156&lt;150,"Large",
F156&gt;=150,"Very Large"
)</f>
        <v>Small</v>
      </c>
      <c r="H156" s="2" t="s">
        <v>32</v>
      </c>
      <c r="I156" s="2">
        <v>48.505090000000003</v>
      </c>
      <c r="J156" s="2">
        <v>20.539448</v>
      </c>
      <c r="K156" s="2" t="str">
        <f t="shared" si="9"/>
        <v>Available</v>
      </c>
      <c r="L156" s="2" t="s">
        <v>10</v>
      </c>
      <c r="M156" s="3">
        <v>45358</v>
      </c>
      <c r="N156" s="3" t="str">
        <f t="shared" si="10"/>
        <v>March</v>
      </c>
      <c r="O156" s="2" t="s">
        <v>6</v>
      </c>
      <c r="P156" t="str">
        <f t="shared" si="11"/>
        <v>OK</v>
      </c>
    </row>
    <row r="157" spans="1:16" x14ac:dyDescent="0.3">
      <c r="A157" s="2">
        <f t="shared" si="8"/>
        <v>156</v>
      </c>
      <c r="B157" s="2" t="s">
        <v>30</v>
      </c>
      <c r="C157" s="2" t="s">
        <v>7</v>
      </c>
      <c r="D157" s="1">
        <v>0.8</v>
      </c>
      <c r="E157" s="1" t="str" cm="1">
        <f t="array" ref="E157">_xlfn.IFS(
D157&lt;20,"Light",
D157&lt;50,"Medium",
D157&lt;100,"Heavy",
D157&gt;=100,"Very Heavy")</f>
        <v>Light</v>
      </c>
      <c r="F157" s="2">
        <v>23</v>
      </c>
      <c r="G157" s="2" t="str" cm="1">
        <f t="array" ref="G157">_xlfn.IFS(
F157&lt;50,"Small",
F157&lt;100,"Medium",
F157&lt;150,"Large",
F157&gt;=150,"Very Large"
)</f>
        <v>Small</v>
      </c>
      <c r="H157" s="2" t="s">
        <v>33</v>
      </c>
      <c r="I157" s="2">
        <v>48.504424999999998</v>
      </c>
      <c r="J157" s="2">
        <v>20.548743999999999</v>
      </c>
      <c r="K157" s="2" t="str">
        <f t="shared" si="9"/>
        <v>Available</v>
      </c>
      <c r="L157" s="2" t="s">
        <v>10</v>
      </c>
      <c r="M157" s="3">
        <v>45358</v>
      </c>
      <c r="N157" s="3" t="str">
        <f t="shared" si="10"/>
        <v>March</v>
      </c>
      <c r="O157" s="2" t="s">
        <v>6</v>
      </c>
      <c r="P157" t="str">
        <f t="shared" si="11"/>
        <v>OK</v>
      </c>
    </row>
    <row r="158" spans="1:16" x14ac:dyDescent="0.3">
      <c r="A158" s="2">
        <f t="shared" si="8"/>
        <v>157</v>
      </c>
      <c r="B158" s="2" t="s">
        <v>30</v>
      </c>
      <c r="C158" s="2" t="s">
        <v>7</v>
      </c>
      <c r="D158" s="1">
        <v>0.7</v>
      </c>
      <c r="E158" s="1" t="str" cm="1">
        <f t="array" ref="E158">_xlfn.IFS(
D158&lt;20,"Light",
D158&lt;50,"Medium",
D158&lt;100,"Heavy",
D158&gt;=100,"Very Heavy")</f>
        <v>Light</v>
      </c>
      <c r="F158" s="2">
        <v>18</v>
      </c>
      <c r="G158" s="2" t="str" cm="1">
        <f t="array" ref="G158">_xlfn.IFS(
F158&lt;50,"Small",
F158&lt;100,"Medium",
F158&lt;150,"Large",
F158&gt;=150,"Very Large"
)</f>
        <v>Small</v>
      </c>
      <c r="H158" s="2" t="s">
        <v>33</v>
      </c>
      <c r="I158" s="2">
        <v>48.505617000000001</v>
      </c>
      <c r="J158" s="2">
        <v>20.541053999999999</v>
      </c>
      <c r="K158" s="2" t="str">
        <f t="shared" si="9"/>
        <v>Available</v>
      </c>
      <c r="L158" s="2" t="s">
        <v>10</v>
      </c>
      <c r="M158" s="3">
        <v>45358</v>
      </c>
      <c r="N158" s="3" t="str">
        <f t="shared" si="10"/>
        <v>March</v>
      </c>
      <c r="O158" s="2" t="s">
        <v>6</v>
      </c>
      <c r="P158" t="str">
        <f t="shared" si="11"/>
        <v>OK</v>
      </c>
    </row>
    <row r="159" spans="1:16" x14ac:dyDescent="0.3">
      <c r="A159" s="2">
        <f t="shared" si="8"/>
        <v>158</v>
      </c>
      <c r="B159" s="2" t="s">
        <v>30</v>
      </c>
      <c r="C159" s="2" t="s">
        <v>7</v>
      </c>
      <c r="D159" s="1">
        <v>1.2</v>
      </c>
      <c r="E159" s="1" t="str" cm="1">
        <f t="array" ref="E159">_xlfn.IFS(
D159&lt;20,"Light",
D159&lt;50,"Medium",
D159&lt;100,"Heavy",
D159&gt;=100,"Very Heavy")</f>
        <v>Light</v>
      </c>
      <c r="F159" s="2">
        <v>23</v>
      </c>
      <c r="G159" s="2" t="str" cm="1">
        <f t="array" ref="G159">_xlfn.IFS(
F159&lt;50,"Small",
F159&lt;100,"Medium",
F159&lt;150,"Large",
F159&gt;=150,"Very Large"
)</f>
        <v>Small</v>
      </c>
      <c r="H159" s="2" t="s">
        <v>32</v>
      </c>
      <c r="I159" s="2">
        <v>48.503253999999998</v>
      </c>
      <c r="J159" s="2">
        <v>20.555951</v>
      </c>
      <c r="K159" s="2" t="str">
        <f t="shared" si="9"/>
        <v>Available</v>
      </c>
      <c r="L159" s="2" t="s">
        <v>10</v>
      </c>
      <c r="M159" s="3">
        <v>45358</v>
      </c>
      <c r="N159" s="3" t="str">
        <f t="shared" si="10"/>
        <v>March</v>
      </c>
      <c r="O159" s="2" t="s">
        <v>6</v>
      </c>
      <c r="P159" t="str">
        <f t="shared" si="11"/>
        <v>OK</v>
      </c>
    </row>
    <row r="160" spans="1:16" x14ac:dyDescent="0.3">
      <c r="A160" s="2">
        <f t="shared" si="8"/>
        <v>159</v>
      </c>
      <c r="B160" s="2" t="s">
        <v>30</v>
      </c>
      <c r="C160" s="2" t="s">
        <v>7</v>
      </c>
      <c r="D160" s="1">
        <v>0.5</v>
      </c>
      <c r="E160" s="1" t="str" cm="1">
        <f t="array" ref="E160">_xlfn.IFS(
D160&lt;20,"Light",
D160&lt;50,"Medium",
D160&lt;100,"Heavy",
D160&gt;=100,"Very Heavy")</f>
        <v>Light</v>
      </c>
      <c r="F160" s="2">
        <v>15</v>
      </c>
      <c r="G160" s="2" t="str" cm="1">
        <f t="array" ref="G160">_xlfn.IFS(
F160&lt;50,"Small",
F160&lt;100,"Medium",
F160&lt;150,"Large",
F160&gt;=150,"Very Large"
)</f>
        <v>Small</v>
      </c>
      <c r="H160" s="2" t="s">
        <v>32</v>
      </c>
      <c r="I160" s="2">
        <v>48.502358999999998</v>
      </c>
      <c r="J160" s="2">
        <v>20.563385</v>
      </c>
      <c r="K160" s="2" t="str">
        <f t="shared" si="9"/>
        <v>Available</v>
      </c>
      <c r="L160" s="2" t="s">
        <v>10</v>
      </c>
      <c r="M160" s="3">
        <v>45358</v>
      </c>
      <c r="N160" s="3" t="str">
        <f t="shared" si="10"/>
        <v>March</v>
      </c>
      <c r="O160" s="2" t="s">
        <v>6</v>
      </c>
      <c r="P160" t="str">
        <f t="shared" si="11"/>
        <v>OK</v>
      </c>
    </row>
    <row r="161" spans="1:16" x14ac:dyDescent="0.3">
      <c r="A161" s="2">
        <f t="shared" si="8"/>
        <v>160</v>
      </c>
      <c r="B161" s="2" t="s">
        <v>30</v>
      </c>
      <c r="C161" s="2" t="s">
        <v>7</v>
      </c>
      <c r="D161" s="1">
        <v>0.6</v>
      </c>
      <c r="E161" s="1" t="str" cm="1">
        <f t="array" ref="E161">_xlfn.IFS(
D161&lt;20,"Light",
D161&lt;50,"Medium",
D161&lt;100,"Heavy",
D161&gt;=100,"Very Heavy")</f>
        <v>Light</v>
      </c>
      <c r="F161" s="2">
        <v>18</v>
      </c>
      <c r="G161" s="2" t="str" cm="1">
        <f t="array" ref="G161">_xlfn.IFS(
F161&lt;50,"Small",
F161&lt;100,"Medium",
F161&lt;150,"Large",
F161&gt;=150,"Very Large"
)</f>
        <v>Small</v>
      </c>
      <c r="H161" s="2" t="s">
        <v>33</v>
      </c>
      <c r="I161" s="2">
        <v>48.511048000000002</v>
      </c>
      <c r="J161" s="2">
        <v>20.567208999999998</v>
      </c>
      <c r="K161" s="2" t="str">
        <f t="shared" si="9"/>
        <v>Available</v>
      </c>
      <c r="L161" s="2" t="s">
        <v>10</v>
      </c>
      <c r="M161" s="3">
        <v>45358</v>
      </c>
      <c r="N161" s="3" t="str">
        <f t="shared" si="10"/>
        <v>March</v>
      </c>
      <c r="O161" s="2" t="s">
        <v>6</v>
      </c>
      <c r="P161" t="str">
        <f t="shared" si="11"/>
        <v>OK</v>
      </c>
    </row>
    <row r="162" spans="1:16" x14ac:dyDescent="0.3">
      <c r="A162" s="2">
        <f t="shared" si="8"/>
        <v>161</v>
      </c>
      <c r="B162" s="2" t="s">
        <v>28</v>
      </c>
      <c r="C162" s="2" t="s">
        <v>7</v>
      </c>
      <c r="D162" s="1">
        <v>29</v>
      </c>
      <c r="E162" s="1" t="str" cm="1">
        <f t="array" ref="E162">_xlfn.IFS(
D162&lt;20,"Light",
D162&lt;50,"Medium",
D162&lt;100,"Heavy",
D162&gt;=100,"Very Heavy")</f>
        <v>Medium</v>
      </c>
      <c r="F162" s="2">
        <v>109</v>
      </c>
      <c r="G162" s="2" t="str" cm="1">
        <f t="array" ref="G162">_xlfn.IFS(
F162&lt;50,"Small",
F162&lt;100,"Medium",
F162&lt;150,"Large",
F162&gt;=150,"Very Large"
)</f>
        <v>Large</v>
      </c>
      <c r="H162" s="2" t="s">
        <v>32</v>
      </c>
      <c r="I162" s="2">
        <v>48.501573999999998</v>
      </c>
      <c r="J162" s="2">
        <v>20.532454999999999</v>
      </c>
      <c r="K162" s="2" t="str">
        <f t="shared" si="9"/>
        <v>Available</v>
      </c>
      <c r="L162" s="2" t="s">
        <v>10</v>
      </c>
      <c r="M162" s="3">
        <v>45358</v>
      </c>
      <c r="N162" s="3" t="str">
        <f t="shared" si="10"/>
        <v>March</v>
      </c>
      <c r="O162" s="2" t="s">
        <v>6</v>
      </c>
      <c r="P162" t="str">
        <f t="shared" si="11"/>
        <v>OK</v>
      </c>
    </row>
    <row r="163" spans="1:16" x14ac:dyDescent="0.3">
      <c r="A163" s="2">
        <f t="shared" si="8"/>
        <v>162</v>
      </c>
      <c r="B163" s="2" t="s">
        <v>28</v>
      </c>
      <c r="C163" s="2" t="s">
        <v>4</v>
      </c>
      <c r="D163" s="1">
        <v>26</v>
      </c>
      <c r="E163" s="1" t="str" cm="1">
        <f t="array" ref="E163">_xlfn.IFS(
D163&lt;20,"Light",
D163&lt;50,"Medium",
D163&lt;100,"Heavy",
D163&gt;=100,"Very Heavy")</f>
        <v>Medium</v>
      </c>
      <c r="F163" s="2">
        <v>85</v>
      </c>
      <c r="G163" s="2" t="str" cm="1">
        <f t="array" ref="G163">_xlfn.IFS(
F163&lt;50,"Small",
F163&lt;100,"Medium",
F163&lt;150,"Large",
F163&gt;=150,"Very Large"
)</f>
        <v>Medium</v>
      </c>
      <c r="H163" s="2" t="s">
        <v>33</v>
      </c>
      <c r="I163" s="2">
        <v>52.808579000000002</v>
      </c>
      <c r="J163" s="2">
        <v>23.843768000000001</v>
      </c>
      <c r="K163" s="2" t="str">
        <f t="shared" si="9"/>
        <v>Available</v>
      </c>
      <c r="L163" s="2" t="s">
        <v>10</v>
      </c>
      <c r="M163" s="3">
        <v>45358</v>
      </c>
      <c r="N163" s="3" t="str">
        <f t="shared" si="10"/>
        <v>March</v>
      </c>
      <c r="O163" s="2" t="s">
        <v>6</v>
      </c>
      <c r="P163" t="str">
        <f t="shared" si="11"/>
        <v>OK</v>
      </c>
    </row>
    <row r="164" spans="1:16" x14ac:dyDescent="0.3">
      <c r="A164" s="2">
        <f t="shared" si="8"/>
        <v>163</v>
      </c>
      <c r="B164" s="2" t="s">
        <v>29</v>
      </c>
      <c r="C164" s="2" t="s">
        <v>7</v>
      </c>
      <c r="D164" s="1">
        <v>0.29599999999999999</v>
      </c>
      <c r="E164" s="1" t="str" cm="1">
        <f t="array" ref="E164">_xlfn.IFS(
D164&lt;20,"Light",
D164&lt;50,"Medium",
D164&lt;100,"Heavy",
D164&gt;=100,"Very Heavy")</f>
        <v>Light</v>
      </c>
      <c r="F164" s="2">
        <v>19</v>
      </c>
      <c r="G164" s="2" t="str" cm="1">
        <f t="array" ref="G164">_xlfn.IFS(
F164&lt;50,"Small",
F164&lt;100,"Medium",
F164&lt;150,"Large",
F164&gt;=150,"Very Large"
)</f>
        <v>Small</v>
      </c>
      <c r="H164" s="2" t="s">
        <v>32</v>
      </c>
      <c r="K164" s="2" t="str">
        <f t="shared" si="9"/>
        <v>Missing Location</v>
      </c>
      <c r="L164" s="2" t="s">
        <v>10</v>
      </c>
      <c r="M164" s="3">
        <v>45358</v>
      </c>
      <c r="N164" s="3" t="str">
        <f t="shared" si="10"/>
        <v>March</v>
      </c>
      <c r="O164" s="2" t="s">
        <v>6</v>
      </c>
      <c r="P164" t="str">
        <f t="shared" si="11"/>
        <v>Needs Review</v>
      </c>
    </row>
    <row r="165" spans="1:16" x14ac:dyDescent="0.3">
      <c r="A165" s="2">
        <f t="shared" si="8"/>
        <v>164</v>
      </c>
      <c r="B165" s="2" t="s">
        <v>29</v>
      </c>
      <c r="C165" s="2" t="s">
        <v>7</v>
      </c>
      <c r="D165" s="1">
        <v>0.3</v>
      </c>
      <c r="E165" s="1" t="str" cm="1">
        <f t="array" ref="E165">_xlfn.IFS(
D165&lt;20,"Light",
D165&lt;50,"Medium",
D165&lt;100,"Heavy",
D165&gt;=100,"Very Heavy")</f>
        <v>Light</v>
      </c>
      <c r="F165" s="2">
        <v>23</v>
      </c>
      <c r="G165" s="2" t="str" cm="1">
        <f t="array" ref="G165">_xlfn.IFS(
F165&lt;50,"Small",
F165&lt;100,"Medium",
F165&lt;150,"Large",
F165&gt;=150,"Very Large"
)</f>
        <v>Small</v>
      </c>
      <c r="H165" s="2" t="s">
        <v>32</v>
      </c>
      <c r="I165" s="2">
        <v>48.505406000000001</v>
      </c>
      <c r="J165" s="2">
        <v>20.535848000000001</v>
      </c>
      <c r="K165" s="2" t="str">
        <f t="shared" si="9"/>
        <v>Available</v>
      </c>
      <c r="L165" s="2" t="s">
        <v>10</v>
      </c>
      <c r="M165" s="3">
        <v>45358</v>
      </c>
      <c r="N165" s="3" t="str">
        <f t="shared" si="10"/>
        <v>March</v>
      </c>
      <c r="O165" s="2" t="s">
        <v>6</v>
      </c>
      <c r="P165" t="str">
        <f t="shared" si="11"/>
        <v>OK</v>
      </c>
    </row>
    <row r="166" spans="1:16" x14ac:dyDescent="0.3">
      <c r="A166" s="2">
        <f t="shared" si="8"/>
        <v>165</v>
      </c>
      <c r="B166" s="2" t="s">
        <v>29</v>
      </c>
      <c r="C166" s="2" t="s">
        <v>7</v>
      </c>
      <c r="D166" s="1">
        <v>0.28599999999999998</v>
      </c>
      <c r="E166" s="1" t="str" cm="1">
        <f t="array" ref="E166">_xlfn.IFS(
D166&lt;20,"Light",
D166&lt;50,"Medium",
D166&lt;100,"Heavy",
D166&gt;=100,"Very Heavy")</f>
        <v>Light</v>
      </c>
      <c r="F166" s="2">
        <v>18</v>
      </c>
      <c r="G166" s="2" t="str" cm="1">
        <f t="array" ref="G166">_xlfn.IFS(
F166&lt;50,"Small",
F166&lt;100,"Medium",
F166&lt;150,"Large",
F166&gt;=150,"Very Large"
)</f>
        <v>Small</v>
      </c>
      <c r="H166" s="2" t="s">
        <v>33</v>
      </c>
      <c r="I166" s="2">
        <v>48.503917000000001</v>
      </c>
      <c r="J166" s="2">
        <v>20.536503</v>
      </c>
      <c r="K166" s="2" t="str">
        <f t="shared" si="9"/>
        <v>Available</v>
      </c>
      <c r="L166" s="2" t="s">
        <v>10</v>
      </c>
      <c r="M166" s="3">
        <v>45358</v>
      </c>
      <c r="N166" s="3" t="str">
        <f t="shared" si="10"/>
        <v>March</v>
      </c>
      <c r="O166" s="2" t="s">
        <v>6</v>
      </c>
      <c r="P166" t="str">
        <f t="shared" si="11"/>
        <v>OK</v>
      </c>
    </row>
    <row r="167" spans="1:16" x14ac:dyDescent="0.3">
      <c r="A167" s="2">
        <f t="shared" si="8"/>
        <v>166</v>
      </c>
      <c r="B167" s="2" t="s">
        <v>29</v>
      </c>
      <c r="C167" s="2" t="s">
        <v>4</v>
      </c>
      <c r="D167" s="1">
        <v>0.318</v>
      </c>
      <c r="E167" s="1" t="str" cm="1">
        <f t="array" ref="E167">_xlfn.IFS(
D167&lt;20,"Light",
D167&lt;50,"Medium",
D167&lt;100,"Heavy",
D167&gt;=100,"Very Heavy")</f>
        <v>Light</v>
      </c>
      <c r="F167" s="2">
        <v>21</v>
      </c>
      <c r="G167" s="2" t="str" cm="1">
        <f t="array" ref="G167">_xlfn.IFS(
F167&lt;50,"Small",
F167&lt;100,"Medium",
F167&lt;150,"Large",
F167&gt;=150,"Very Large"
)</f>
        <v>Small</v>
      </c>
      <c r="H167" s="2" t="s">
        <v>32</v>
      </c>
      <c r="I167" s="2">
        <v>52.240616000000003</v>
      </c>
      <c r="J167" s="2">
        <v>21.054901999999998</v>
      </c>
      <c r="K167" s="2" t="str">
        <f t="shared" si="9"/>
        <v>Available</v>
      </c>
      <c r="L167" s="2" t="s">
        <v>10</v>
      </c>
      <c r="M167" s="3">
        <v>45358</v>
      </c>
      <c r="N167" s="3" t="str">
        <f t="shared" si="10"/>
        <v>March</v>
      </c>
      <c r="O167" s="2" t="s">
        <v>6</v>
      </c>
      <c r="P167" t="str">
        <f t="shared" si="11"/>
        <v>OK</v>
      </c>
    </row>
    <row r="168" spans="1:16" x14ac:dyDescent="0.3">
      <c r="A168" s="2">
        <f t="shared" si="8"/>
        <v>167</v>
      </c>
      <c r="B168" s="2" t="s">
        <v>27</v>
      </c>
      <c r="C168" s="2" t="s">
        <v>15</v>
      </c>
      <c r="D168" s="1">
        <v>716</v>
      </c>
      <c r="E168" s="1" t="str" cm="1">
        <f t="array" ref="E168">_xlfn.IFS(
D168&lt;20,"Light",
D168&lt;50,"Medium",
D168&lt;100,"Heavy",
D168&gt;=100,"Very Heavy")</f>
        <v>Very Heavy</v>
      </c>
      <c r="F168" s="2">
        <v>303</v>
      </c>
      <c r="G168" s="2" t="str" cm="1">
        <f t="array" ref="G168">_xlfn.IFS(
F168&lt;50,"Small",
F168&lt;100,"Medium",
F168&lt;150,"Large",
F168&gt;=150,"Very Large"
)</f>
        <v>Very Large</v>
      </c>
      <c r="H168" s="2" t="s">
        <v>32</v>
      </c>
      <c r="I168" s="2">
        <v>50.636161000000001</v>
      </c>
      <c r="J168" s="2">
        <v>14.846951000000001</v>
      </c>
      <c r="K168" s="2" t="str">
        <f t="shared" si="9"/>
        <v>Available</v>
      </c>
      <c r="L168" s="2" t="s">
        <v>10</v>
      </c>
      <c r="M168" s="3">
        <v>45358</v>
      </c>
      <c r="N168" s="3" t="str">
        <f t="shared" si="10"/>
        <v>March</v>
      </c>
      <c r="O168" s="2" t="s">
        <v>14</v>
      </c>
      <c r="P168" t="str">
        <f t="shared" si="11"/>
        <v>OK</v>
      </c>
    </row>
    <row r="169" spans="1:16" x14ac:dyDescent="0.3">
      <c r="A169" s="2">
        <f t="shared" si="8"/>
        <v>168</v>
      </c>
      <c r="B169" s="2" t="s">
        <v>27</v>
      </c>
      <c r="C169" s="2" t="s">
        <v>15</v>
      </c>
      <c r="D169" s="1">
        <v>541</v>
      </c>
      <c r="E169" s="1" t="str" cm="1">
        <f t="array" ref="E169">_xlfn.IFS(
D169&lt;20,"Light",
D169&lt;50,"Medium",
D169&lt;100,"Heavy",
D169&gt;=100,"Very Heavy")</f>
        <v>Very Heavy</v>
      </c>
      <c r="F169" s="2">
        <v>212</v>
      </c>
      <c r="G169" s="2" t="str" cm="1">
        <f t="array" ref="G169">_xlfn.IFS(
F169&lt;50,"Small",
F169&lt;100,"Medium",
F169&lt;150,"Large",
F169&gt;=150,"Very Large"
)</f>
        <v>Very Large</v>
      </c>
      <c r="H169" s="2" t="s">
        <v>33</v>
      </c>
      <c r="I169" s="2">
        <v>50.642592</v>
      </c>
      <c r="J169" s="2">
        <v>14.85014</v>
      </c>
      <c r="K169" s="2" t="str">
        <f t="shared" si="9"/>
        <v>Available</v>
      </c>
      <c r="L169" s="2" t="s">
        <v>10</v>
      </c>
      <c r="M169" s="3">
        <v>45358</v>
      </c>
      <c r="N169" s="3" t="str">
        <f t="shared" si="10"/>
        <v>March</v>
      </c>
      <c r="O169" s="2" t="s">
        <v>14</v>
      </c>
      <c r="P169" t="str">
        <f t="shared" si="11"/>
        <v>OK</v>
      </c>
    </row>
    <row r="170" spans="1:16" x14ac:dyDescent="0.3">
      <c r="A170" s="2">
        <f t="shared" si="8"/>
        <v>169</v>
      </c>
      <c r="B170" s="2" t="s">
        <v>27</v>
      </c>
      <c r="C170" s="2" t="s">
        <v>15</v>
      </c>
      <c r="D170" s="1">
        <v>30</v>
      </c>
      <c r="E170" s="1" t="str" cm="1">
        <f t="array" ref="E170">_xlfn.IFS(
D170&lt;20,"Light",
D170&lt;50,"Medium",
D170&lt;100,"Heavy",
D170&gt;=100,"Very Heavy")</f>
        <v>Medium</v>
      </c>
      <c r="F170" s="2">
        <v>100</v>
      </c>
      <c r="G170" s="2" t="str" cm="1">
        <f t="array" ref="G170">_xlfn.IFS(
F170&lt;50,"Small",
F170&lt;100,"Medium",
F170&lt;150,"Large",
F170&gt;=150,"Very Large"
)</f>
        <v>Large</v>
      </c>
      <c r="H170" s="2" t="s">
        <v>33</v>
      </c>
      <c r="I170" s="2">
        <v>50.636423000000001</v>
      </c>
      <c r="J170" s="2">
        <v>14.847287</v>
      </c>
      <c r="K170" s="2" t="str">
        <f t="shared" si="9"/>
        <v>Available</v>
      </c>
      <c r="L170" s="2" t="s">
        <v>10</v>
      </c>
      <c r="M170" s="3">
        <v>45358</v>
      </c>
      <c r="N170" s="3" t="str">
        <f t="shared" si="10"/>
        <v>March</v>
      </c>
      <c r="O170" s="2" t="s">
        <v>14</v>
      </c>
      <c r="P170" t="str">
        <f t="shared" si="11"/>
        <v>OK</v>
      </c>
    </row>
    <row r="171" spans="1:16" x14ac:dyDescent="0.3">
      <c r="A171" s="2">
        <f t="shared" si="8"/>
        <v>170</v>
      </c>
      <c r="B171" s="2" t="s">
        <v>30</v>
      </c>
      <c r="C171" s="2" t="s">
        <v>15</v>
      </c>
      <c r="D171" s="1">
        <v>0.7</v>
      </c>
      <c r="E171" s="1" t="str" cm="1">
        <f t="array" ref="E171">_xlfn.IFS(
D171&lt;20,"Light",
D171&lt;50,"Medium",
D171&lt;100,"Heavy",
D171&gt;=100,"Very Heavy")</f>
        <v>Light</v>
      </c>
      <c r="F171" s="2">
        <v>20</v>
      </c>
      <c r="G171" s="2" t="str" cm="1">
        <f t="array" ref="G171">_xlfn.IFS(
F171&lt;50,"Small",
F171&lt;100,"Medium",
F171&lt;150,"Large",
F171&gt;=150,"Very Large"
)</f>
        <v>Small</v>
      </c>
      <c r="H171" s="2" t="s">
        <v>33</v>
      </c>
      <c r="I171" s="2">
        <v>50.106606999999997</v>
      </c>
      <c r="J171" s="2">
        <v>14.347909</v>
      </c>
      <c r="K171" s="2" t="str">
        <f t="shared" si="9"/>
        <v>Available</v>
      </c>
      <c r="L171" s="2" t="s">
        <v>10</v>
      </c>
      <c r="M171" s="3">
        <v>45358</v>
      </c>
      <c r="N171" s="3" t="str">
        <f t="shared" si="10"/>
        <v>March</v>
      </c>
      <c r="O171" s="2" t="s">
        <v>14</v>
      </c>
      <c r="P171" t="str">
        <f t="shared" si="11"/>
        <v>OK</v>
      </c>
    </row>
    <row r="172" spans="1:16" x14ac:dyDescent="0.3">
      <c r="A172" s="2">
        <f t="shared" si="8"/>
        <v>171</v>
      </c>
      <c r="B172" s="2" t="s">
        <v>30</v>
      </c>
      <c r="C172" s="2" t="s">
        <v>15</v>
      </c>
      <c r="D172" s="1">
        <v>0.7</v>
      </c>
      <c r="E172" s="1" t="str" cm="1">
        <f t="array" ref="E172">_xlfn.IFS(
D172&lt;20,"Light",
D172&lt;50,"Medium",
D172&lt;100,"Heavy",
D172&gt;=100,"Very Heavy")</f>
        <v>Light</v>
      </c>
      <c r="F172" s="2">
        <v>20</v>
      </c>
      <c r="G172" s="2" t="str" cm="1">
        <f t="array" ref="G172">_xlfn.IFS(
F172&lt;50,"Small",
F172&lt;100,"Medium",
F172&lt;150,"Large",
F172&gt;=150,"Very Large"
)</f>
        <v>Small</v>
      </c>
      <c r="H172" s="2" t="s">
        <v>33</v>
      </c>
      <c r="I172" s="2">
        <v>50.106924999999997</v>
      </c>
      <c r="J172" s="2">
        <v>14.346629</v>
      </c>
      <c r="K172" s="2" t="str">
        <f t="shared" si="9"/>
        <v>Available</v>
      </c>
      <c r="L172" s="2" t="s">
        <v>10</v>
      </c>
      <c r="M172" s="3">
        <v>45358</v>
      </c>
      <c r="N172" s="3" t="str">
        <f t="shared" si="10"/>
        <v>March</v>
      </c>
      <c r="O172" s="2" t="s">
        <v>14</v>
      </c>
      <c r="P172" t="str">
        <f t="shared" si="11"/>
        <v>OK</v>
      </c>
    </row>
    <row r="173" spans="1:16" x14ac:dyDescent="0.3">
      <c r="A173" s="2">
        <f t="shared" si="8"/>
        <v>172</v>
      </c>
      <c r="B173" s="2" t="s">
        <v>30</v>
      </c>
      <c r="C173" s="2" t="s">
        <v>15</v>
      </c>
      <c r="D173" s="1">
        <v>1.2</v>
      </c>
      <c r="E173" s="1" t="str" cm="1">
        <f t="array" ref="E173">_xlfn.IFS(
D173&lt;20,"Light",
D173&lt;50,"Medium",
D173&lt;100,"Heavy",
D173&gt;=100,"Very Heavy")</f>
        <v>Light</v>
      </c>
      <c r="F173" s="2">
        <v>26</v>
      </c>
      <c r="G173" s="2" t="str" cm="1">
        <f t="array" ref="G173">_xlfn.IFS(
F173&lt;50,"Small",
F173&lt;100,"Medium",
F173&lt;150,"Large",
F173&gt;=150,"Very Large"
)</f>
        <v>Small</v>
      </c>
      <c r="H173" s="2" t="s">
        <v>32</v>
      </c>
      <c r="I173" s="2">
        <v>50.107284</v>
      </c>
      <c r="J173" s="2">
        <v>14.347676</v>
      </c>
      <c r="K173" s="2" t="str">
        <f t="shared" si="9"/>
        <v>Available</v>
      </c>
      <c r="L173" s="2" t="s">
        <v>10</v>
      </c>
      <c r="M173" s="3">
        <v>45358</v>
      </c>
      <c r="N173" s="3" t="str">
        <f t="shared" si="10"/>
        <v>March</v>
      </c>
      <c r="O173" s="2" t="s">
        <v>14</v>
      </c>
      <c r="P173" t="str">
        <f t="shared" si="11"/>
        <v>OK</v>
      </c>
    </row>
    <row r="174" spans="1:16" x14ac:dyDescent="0.3">
      <c r="A174" s="2">
        <f t="shared" si="8"/>
        <v>173</v>
      </c>
      <c r="B174" s="2" t="s">
        <v>29</v>
      </c>
      <c r="C174" s="2" t="s">
        <v>15</v>
      </c>
      <c r="D174" s="1">
        <v>0.27300000000000002</v>
      </c>
      <c r="E174" s="1" t="str" cm="1">
        <f t="array" ref="E174">_xlfn.IFS(
D174&lt;20,"Light",
D174&lt;50,"Medium",
D174&lt;100,"Heavy",
D174&gt;=100,"Very Heavy")</f>
        <v>Light</v>
      </c>
      <c r="F174" s="2">
        <v>17</v>
      </c>
      <c r="G174" s="2" t="str" cm="1">
        <f t="array" ref="G174">_xlfn.IFS(
F174&lt;50,"Small",
F174&lt;100,"Medium",
F174&lt;150,"Large",
F174&gt;=150,"Very Large"
)</f>
        <v>Small</v>
      </c>
      <c r="H174" s="2" t="s">
        <v>33</v>
      </c>
      <c r="I174" s="2">
        <v>49.938634</v>
      </c>
      <c r="J174" s="2">
        <v>14.181813</v>
      </c>
      <c r="K174" s="2" t="str">
        <f t="shared" si="9"/>
        <v>Available</v>
      </c>
      <c r="L174" s="2" t="s">
        <v>10</v>
      </c>
      <c r="M174" s="3">
        <v>45358</v>
      </c>
      <c r="N174" s="3" t="str">
        <f t="shared" si="10"/>
        <v>March</v>
      </c>
      <c r="O174" s="2" t="s">
        <v>14</v>
      </c>
      <c r="P174" t="str">
        <f t="shared" si="11"/>
        <v>OK</v>
      </c>
    </row>
    <row r="175" spans="1:16" x14ac:dyDescent="0.3">
      <c r="A175" s="2">
        <f t="shared" si="8"/>
        <v>174</v>
      </c>
      <c r="B175" s="2" t="s">
        <v>30</v>
      </c>
      <c r="C175" s="2" t="s">
        <v>7</v>
      </c>
      <c r="D175" s="1">
        <v>1</v>
      </c>
      <c r="E175" s="1" t="str" cm="1">
        <f t="array" ref="E175">_xlfn.IFS(
D175&lt;20,"Light",
D175&lt;50,"Medium",
D175&lt;100,"Heavy",
D175&gt;=100,"Very Heavy")</f>
        <v>Light</v>
      </c>
      <c r="F175" s="2">
        <v>24</v>
      </c>
      <c r="G175" s="2" t="str" cm="1">
        <f t="array" ref="G175">_xlfn.IFS(
F175&lt;50,"Small",
F175&lt;100,"Medium",
F175&lt;150,"Large",
F175&gt;=150,"Very Large"
)</f>
        <v>Small</v>
      </c>
      <c r="H175" s="2" t="s">
        <v>33</v>
      </c>
      <c r="I175" s="2">
        <v>48.506912999999997</v>
      </c>
      <c r="J175" s="2">
        <v>20.540427000000001</v>
      </c>
      <c r="K175" s="2" t="str">
        <f t="shared" si="9"/>
        <v>Available</v>
      </c>
      <c r="L175" s="2" t="s">
        <v>10</v>
      </c>
      <c r="M175" s="3">
        <v>45359</v>
      </c>
      <c r="N175" s="3" t="str">
        <f t="shared" si="10"/>
        <v>March</v>
      </c>
      <c r="O175" s="2" t="s">
        <v>6</v>
      </c>
      <c r="P175" t="str">
        <f t="shared" si="11"/>
        <v>OK</v>
      </c>
    </row>
    <row r="176" spans="1:16" x14ac:dyDescent="0.3">
      <c r="A176" s="2">
        <f t="shared" si="8"/>
        <v>175</v>
      </c>
      <c r="B176" s="2" t="s">
        <v>30</v>
      </c>
      <c r="C176" s="2" t="s">
        <v>4</v>
      </c>
      <c r="D176" s="1">
        <v>0.8</v>
      </c>
      <c r="E176" s="1" t="str" cm="1">
        <f t="array" ref="E176">_xlfn.IFS(
D176&lt;20,"Light",
D176&lt;50,"Medium",
D176&lt;100,"Heavy",
D176&gt;=100,"Very Heavy")</f>
        <v>Light</v>
      </c>
      <c r="F176" s="2">
        <v>19</v>
      </c>
      <c r="G176" s="2" t="str" cm="1">
        <f t="array" ref="G176">_xlfn.IFS(
F176&lt;50,"Small",
F176&lt;100,"Medium",
F176&lt;150,"Large",
F176&gt;=150,"Very Large"
)</f>
        <v>Small</v>
      </c>
      <c r="H176" s="2" t="s">
        <v>33</v>
      </c>
      <c r="I176" s="2">
        <v>52.214365000000001</v>
      </c>
      <c r="J176" s="2">
        <v>21.031462000000001</v>
      </c>
      <c r="K176" s="2" t="str">
        <f t="shared" si="9"/>
        <v>Available</v>
      </c>
      <c r="L176" s="2" t="s">
        <v>10</v>
      </c>
      <c r="M176" s="3">
        <v>45359</v>
      </c>
      <c r="N176" s="3" t="str">
        <f t="shared" si="10"/>
        <v>March</v>
      </c>
      <c r="O176" s="2" t="s">
        <v>6</v>
      </c>
      <c r="P176" t="str">
        <f t="shared" si="11"/>
        <v>OK</v>
      </c>
    </row>
    <row r="177" spans="1:16" x14ac:dyDescent="0.3">
      <c r="A177" s="2">
        <f t="shared" si="8"/>
        <v>176</v>
      </c>
      <c r="B177" s="2" t="s">
        <v>29</v>
      </c>
      <c r="C177" s="2" t="s">
        <v>7</v>
      </c>
      <c r="D177" s="1">
        <v>0.26100000000000001</v>
      </c>
      <c r="E177" s="1" t="str" cm="1">
        <f t="array" ref="E177">_xlfn.IFS(
D177&lt;20,"Light",
D177&lt;50,"Medium",
D177&lt;100,"Heavy",
D177&gt;=100,"Very Heavy")</f>
        <v>Light</v>
      </c>
      <c r="F177" s="2">
        <v>19</v>
      </c>
      <c r="G177" s="2" t="str" cm="1">
        <f t="array" ref="G177">_xlfn.IFS(
F177&lt;50,"Small",
F177&lt;100,"Medium",
F177&lt;150,"Large",
F177&gt;=150,"Very Large"
)</f>
        <v>Small</v>
      </c>
      <c r="H177" s="2" t="s">
        <v>33</v>
      </c>
      <c r="I177" s="2">
        <v>47.507022999999997</v>
      </c>
      <c r="J177" s="2">
        <v>18.940532000000001</v>
      </c>
      <c r="K177" s="2" t="str">
        <f t="shared" si="9"/>
        <v>Available</v>
      </c>
      <c r="L177" s="2" t="s">
        <v>10</v>
      </c>
      <c r="M177" s="3">
        <v>45359</v>
      </c>
      <c r="N177" s="3" t="str">
        <f t="shared" si="10"/>
        <v>March</v>
      </c>
      <c r="O177" s="2" t="s">
        <v>6</v>
      </c>
      <c r="P177" t="str">
        <f t="shared" si="11"/>
        <v>OK</v>
      </c>
    </row>
    <row r="178" spans="1:16" x14ac:dyDescent="0.3">
      <c r="A178" s="2">
        <f t="shared" si="8"/>
        <v>177</v>
      </c>
      <c r="B178" s="2" t="s">
        <v>30</v>
      </c>
      <c r="C178" s="2" t="s">
        <v>15</v>
      </c>
      <c r="D178" s="1">
        <v>0.8</v>
      </c>
      <c r="E178" s="1" t="str" cm="1">
        <f t="array" ref="E178">_xlfn.IFS(
D178&lt;20,"Light",
D178&lt;50,"Medium",
D178&lt;100,"Heavy",
D178&gt;=100,"Very Heavy")</f>
        <v>Light</v>
      </c>
      <c r="F178" s="2">
        <v>22</v>
      </c>
      <c r="G178" s="2" t="str" cm="1">
        <f t="array" ref="G178">_xlfn.IFS(
F178&lt;50,"Small",
F178&lt;100,"Medium",
F178&lt;150,"Large",
F178&gt;=150,"Very Large"
)</f>
        <v>Small</v>
      </c>
      <c r="H178" s="2" t="s">
        <v>32</v>
      </c>
      <c r="I178" s="2">
        <v>50.106811</v>
      </c>
      <c r="J178" s="2">
        <v>14.348513000000001</v>
      </c>
      <c r="K178" s="2" t="str">
        <f t="shared" si="9"/>
        <v>Available</v>
      </c>
      <c r="L178" s="2" t="s">
        <v>10</v>
      </c>
      <c r="M178" s="3">
        <v>45359</v>
      </c>
      <c r="N178" s="3" t="str">
        <f t="shared" si="10"/>
        <v>March</v>
      </c>
      <c r="O178" s="2" t="s">
        <v>14</v>
      </c>
      <c r="P178" t="str">
        <f t="shared" si="11"/>
        <v>OK</v>
      </c>
    </row>
    <row r="179" spans="1:16" x14ac:dyDescent="0.3">
      <c r="A179" s="2">
        <f t="shared" si="8"/>
        <v>178</v>
      </c>
      <c r="B179" s="2" t="s">
        <v>30</v>
      </c>
      <c r="C179" s="2" t="s">
        <v>15</v>
      </c>
      <c r="D179" s="1">
        <v>1.1000000000000001</v>
      </c>
      <c r="E179" s="1" t="str" cm="1">
        <f t="array" ref="E179">_xlfn.IFS(
D179&lt;20,"Light",
D179&lt;50,"Medium",
D179&lt;100,"Heavy",
D179&gt;=100,"Very Heavy")</f>
        <v>Light</v>
      </c>
      <c r="F179" s="2">
        <v>23</v>
      </c>
      <c r="G179" s="2" t="str" cm="1">
        <f t="array" ref="G179">_xlfn.IFS(
F179&lt;50,"Small",
F179&lt;100,"Medium",
F179&lt;150,"Large",
F179&gt;=150,"Very Large"
)</f>
        <v>Small</v>
      </c>
      <c r="H179" s="2" t="s">
        <v>32</v>
      </c>
      <c r="I179" s="2">
        <v>50.107278000000001</v>
      </c>
      <c r="J179" s="2">
        <v>14.348461</v>
      </c>
      <c r="K179" s="2" t="str">
        <f t="shared" si="9"/>
        <v>Available</v>
      </c>
      <c r="L179" s="2" t="s">
        <v>10</v>
      </c>
      <c r="M179" s="3">
        <v>45359</v>
      </c>
      <c r="N179" s="3" t="str">
        <f t="shared" si="10"/>
        <v>March</v>
      </c>
      <c r="O179" s="2" t="s">
        <v>14</v>
      </c>
      <c r="P179" t="str">
        <f t="shared" si="11"/>
        <v>OK</v>
      </c>
    </row>
    <row r="180" spans="1:16" x14ac:dyDescent="0.3">
      <c r="A180" s="2">
        <f t="shared" si="8"/>
        <v>179</v>
      </c>
      <c r="B180" s="2" t="s">
        <v>27</v>
      </c>
      <c r="C180" s="2" t="s">
        <v>4</v>
      </c>
      <c r="D180" s="1">
        <v>621</v>
      </c>
      <c r="E180" s="1" t="str" cm="1">
        <f t="array" ref="E180">_xlfn.IFS(
D180&lt;20,"Light",
D180&lt;50,"Medium",
D180&lt;100,"Heavy",
D180&gt;=100,"Very Heavy")</f>
        <v>Very Heavy</v>
      </c>
      <c r="F180" s="2">
        <v>277</v>
      </c>
      <c r="G180" s="2" t="str" cm="1">
        <f t="array" ref="G180">_xlfn.IFS(
F180&lt;50,"Small",
F180&lt;100,"Medium",
F180&lt;150,"Large",
F180&gt;=150,"Very Large"
)</f>
        <v>Very Large</v>
      </c>
      <c r="H180" s="2" t="s">
        <v>33</v>
      </c>
      <c r="I180" s="2">
        <v>52.828561000000001</v>
      </c>
      <c r="J180" s="2">
        <v>23.816860999999999</v>
      </c>
      <c r="K180" s="2" t="str">
        <f t="shared" si="9"/>
        <v>Available</v>
      </c>
      <c r="L180" s="2" t="s">
        <v>10</v>
      </c>
      <c r="M180" s="3">
        <v>45360</v>
      </c>
      <c r="N180" s="3" t="str">
        <f t="shared" si="10"/>
        <v>March</v>
      </c>
      <c r="O180" s="2" t="s">
        <v>6</v>
      </c>
      <c r="P180" t="str">
        <f t="shared" si="11"/>
        <v>OK</v>
      </c>
    </row>
    <row r="181" spans="1:16" x14ac:dyDescent="0.3">
      <c r="A181" s="2">
        <f t="shared" si="8"/>
        <v>180</v>
      </c>
      <c r="B181" s="2" t="s">
        <v>27</v>
      </c>
      <c r="C181" s="2" t="s">
        <v>4</v>
      </c>
      <c r="D181" s="1">
        <v>385</v>
      </c>
      <c r="E181" s="1" t="str" cm="1">
        <f t="array" ref="E181">_xlfn.IFS(
D181&lt;20,"Light",
D181&lt;50,"Medium",
D181&lt;100,"Heavy",
D181&gt;=100,"Very Heavy")</f>
        <v>Very Heavy</v>
      </c>
      <c r="F181" s="2">
        <v>168</v>
      </c>
      <c r="G181" s="2" t="str" cm="1">
        <f t="array" ref="G181">_xlfn.IFS(
F181&lt;50,"Small",
F181&lt;100,"Medium",
F181&lt;150,"Large",
F181&gt;=150,"Very Large"
)</f>
        <v>Very Large</v>
      </c>
      <c r="H181" s="2" t="s">
        <v>33</v>
      </c>
      <c r="I181" s="2">
        <v>52.833261</v>
      </c>
      <c r="J181" s="2">
        <v>23.815203</v>
      </c>
      <c r="K181" s="2" t="str">
        <f t="shared" si="9"/>
        <v>Available</v>
      </c>
      <c r="L181" s="2" t="s">
        <v>10</v>
      </c>
      <c r="M181" s="3">
        <v>45360</v>
      </c>
      <c r="N181" s="3" t="str">
        <f t="shared" si="10"/>
        <v>March</v>
      </c>
      <c r="O181" s="2" t="s">
        <v>6</v>
      </c>
      <c r="P181" t="str">
        <f t="shared" si="11"/>
        <v>OK</v>
      </c>
    </row>
    <row r="182" spans="1:16" x14ac:dyDescent="0.3">
      <c r="A182" s="2">
        <f t="shared" si="8"/>
        <v>181</v>
      </c>
      <c r="B182" s="2" t="s">
        <v>30</v>
      </c>
      <c r="C182" s="2" t="s">
        <v>4</v>
      </c>
      <c r="D182" s="1">
        <v>0.6</v>
      </c>
      <c r="E182" s="1" t="str" cm="1">
        <f t="array" ref="E182">_xlfn.IFS(
D182&lt;20,"Light",
D182&lt;50,"Medium",
D182&lt;100,"Heavy",
D182&gt;=100,"Very Heavy")</f>
        <v>Light</v>
      </c>
      <c r="F182" s="2">
        <v>20.985294117647001</v>
      </c>
      <c r="G182" s="2" t="str" cm="1">
        <f t="array" ref="G182">_xlfn.IFS(
F182&lt;50,"Small",
F182&lt;100,"Medium",
F182&lt;150,"Large",
F182&gt;=150,"Very Large"
)</f>
        <v>Small</v>
      </c>
      <c r="H182" s="2" t="s">
        <v>32</v>
      </c>
      <c r="I182" s="2">
        <v>52.214410000000001</v>
      </c>
      <c r="J182" s="2">
        <v>21.032484</v>
      </c>
      <c r="K182" s="2" t="str">
        <f t="shared" si="9"/>
        <v>Available</v>
      </c>
      <c r="L182" s="2" t="s">
        <v>10</v>
      </c>
      <c r="M182" s="3">
        <v>45360</v>
      </c>
      <c r="N182" s="3" t="str">
        <f t="shared" si="10"/>
        <v>March</v>
      </c>
      <c r="O182" s="2" t="s">
        <v>6</v>
      </c>
      <c r="P182" t="str">
        <f t="shared" si="11"/>
        <v>OK</v>
      </c>
    </row>
    <row r="183" spans="1:16" x14ac:dyDescent="0.3">
      <c r="A183" s="2">
        <f t="shared" si="8"/>
        <v>182</v>
      </c>
      <c r="B183" s="2" t="s">
        <v>30</v>
      </c>
      <c r="C183" s="2" t="s">
        <v>4</v>
      </c>
      <c r="D183" s="1">
        <v>0.8</v>
      </c>
      <c r="E183" s="1" t="str" cm="1">
        <f t="array" ref="E183">_xlfn.IFS(
D183&lt;20,"Light",
D183&lt;50,"Medium",
D183&lt;100,"Heavy",
D183&gt;=100,"Very Heavy")</f>
        <v>Light</v>
      </c>
      <c r="F183" s="2">
        <v>22</v>
      </c>
      <c r="G183" s="2" t="str" cm="1">
        <f t="array" ref="G183">_xlfn.IFS(
F183&lt;50,"Small",
F183&lt;100,"Medium",
F183&lt;150,"Large",
F183&gt;=150,"Very Large"
)</f>
        <v>Small</v>
      </c>
      <c r="H183" s="2" t="s">
        <v>33</v>
      </c>
      <c r="I183" s="2">
        <v>52.214452000000001</v>
      </c>
      <c r="J183" s="2">
        <v>21.034504999999999</v>
      </c>
      <c r="K183" s="2" t="str">
        <f t="shared" si="9"/>
        <v>Available</v>
      </c>
      <c r="L183" s="2" t="s">
        <v>10</v>
      </c>
      <c r="M183" s="3">
        <v>45360</v>
      </c>
      <c r="N183" s="3" t="str">
        <f t="shared" si="10"/>
        <v>March</v>
      </c>
      <c r="O183" s="2" t="s">
        <v>6</v>
      </c>
      <c r="P183" t="str">
        <f t="shared" si="11"/>
        <v>OK</v>
      </c>
    </row>
    <row r="184" spans="1:16" x14ac:dyDescent="0.3">
      <c r="A184" s="2">
        <f t="shared" si="8"/>
        <v>183</v>
      </c>
      <c r="B184" s="2" t="s">
        <v>28</v>
      </c>
      <c r="C184" s="2" t="s">
        <v>7</v>
      </c>
      <c r="D184" s="1">
        <v>12</v>
      </c>
      <c r="E184" s="1" t="str" cm="1">
        <f t="array" ref="E184">_xlfn.IFS(
D184&lt;20,"Light",
D184&lt;50,"Medium",
D184&lt;100,"Heavy",
D184&gt;=100,"Very Heavy")</f>
        <v>Light</v>
      </c>
      <c r="F184" s="2">
        <v>61</v>
      </c>
      <c r="G184" s="2" t="str" cm="1">
        <f t="array" ref="G184">_xlfn.IFS(
F184&lt;50,"Small",
F184&lt;100,"Medium",
F184&lt;150,"Large",
F184&gt;=150,"Very Large"
)</f>
        <v>Medium</v>
      </c>
      <c r="H184" s="2" t="s">
        <v>33</v>
      </c>
      <c r="I184" s="2">
        <v>48.508239000000003</v>
      </c>
      <c r="J184" s="2">
        <v>20.567913999999998</v>
      </c>
      <c r="K184" s="2" t="str">
        <f t="shared" si="9"/>
        <v>Available</v>
      </c>
      <c r="L184" s="2" t="s">
        <v>10</v>
      </c>
      <c r="M184" s="3">
        <v>45360</v>
      </c>
      <c r="N184" s="3" t="str">
        <f t="shared" si="10"/>
        <v>March</v>
      </c>
      <c r="O184" s="2" t="s">
        <v>6</v>
      </c>
      <c r="P184" t="str">
        <f t="shared" si="11"/>
        <v>OK</v>
      </c>
    </row>
    <row r="185" spans="1:16" x14ac:dyDescent="0.3">
      <c r="A185" s="2">
        <f t="shared" si="8"/>
        <v>184</v>
      </c>
      <c r="B185" s="2" t="s">
        <v>28</v>
      </c>
      <c r="C185" s="2" t="s">
        <v>7</v>
      </c>
      <c r="D185" s="1">
        <v>23</v>
      </c>
      <c r="E185" s="1" t="str" cm="1">
        <f t="array" ref="E185">_xlfn.IFS(
D185&lt;20,"Light",
D185&lt;50,"Medium",
D185&lt;100,"Heavy",
D185&gt;=100,"Very Heavy")</f>
        <v>Medium</v>
      </c>
      <c r="F185" s="2">
        <v>73</v>
      </c>
      <c r="G185" s="2" t="str" cm="1">
        <f t="array" ref="G185">_xlfn.IFS(
F185&lt;50,"Small",
F185&lt;100,"Medium",
F185&lt;150,"Large",
F185&gt;=150,"Very Large"
)</f>
        <v>Medium</v>
      </c>
      <c r="H185" s="2" t="s">
        <v>33</v>
      </c>
      <c r="I185" s="2">
        <v>48.507503</v>
      </c>
      <c r="J185" s="2">
        <v>20.551725999999999</v>
      </c>
      <c r="K185" s="2" t="str">
        <f t="shared" si="9"/>
        <v>Available</v>
      </c>
      <c r="L185" s="2" t="s">
        <v>10</v>
      </c>
      <c r="M185" s="3">
        <v>45360</v>
      </c>
      <c r="N185" s="3" t="str">
        <f t="shared" si="10"/>
        <v>March</v>
      </c>
      <c r="O185" s="2" t="s">
        <v>6</v>
      </c>
      <c r="P185" t="str">
        <f t="shared" si="11"/>
        <v>OK</v>
      </c>
    </row>
    <row r="186" spans="1:16" x14ac:dyDescent="0.3">
      <c r="A186" s="2">
        <f t="shared" si="8"/>
        <v>185</v>
      </c>
      <c r="B186" s="2" t="s">
        <v>28</v>
      </c>
      <c r="C186" s="2" t="s">
        <v>4</v>
      </c>
      <c r="D186" s="1">
        <v>20</v>
      </c>
      <c r="E186" s="1" t="str" cm="1">
        <f t="array" ref="E186">_xlfn.IFS(
D186&lt;20,"Light",
D186&lt;50,"Medium",
D186&lt;100,"Heavy",
D186&gt;=100,"Very Heavy")</f>
        <v>Medium</v>
      </c>
      <c r="F186" s="2">
        <v>95</v>
      </c>
      <c r="G186" s="2" t="str" cm="1">
        <f t="array" ref="G186">_xlfn.IFS(
F186&lt;50,"Small",
F186&lt;100,"Medium",
F186&lt;150,"Large",
F186&gt;=150,"Very Large"
)</f>
        <v>Medium</v>
      </c>
      <c r="H186" s="2" t="s">
        <v>33</v>
      </c>
      <c r="I186" s="2">
        <v>52.814984000000003</v>
      </c>
      <c r="J186" s="2">
        <v>23.840681</v>
      </c>
      <c r="K186" s="2" t="str">
        <f t="shared" si="9"/>
        <v>Available</v>
      </c>
      <c r="L186" s="2" t="s">
        <v>10</v>
      </c>
      <c r="M186" s="3">
        <v>45360</v>
      </c>
      <c r="N186" s="3" t="str">
        <f t="shared" si="10"/>
        <v>March</v>
      </c>
      <c r="O186" s="2" t="s">
        <v>6</v>
      </c>
      <c r="P186" t="str">
        <f t="shared" si="11"/>
        <v>OK</v>
      </c>
    </row>
    <row r="187" spans="1:16" x14ac:dyDescent="0.3">
      <c r="A187" s="2">
        <f t="shared" si="8"/>
        <v>186</v>
      </c>
      <c r="B187" s="2" t="s">
        <v>28</v>
      </c>
      <c r="C187" s="2" t="s">
        <v>4</v>
      </c>
      <c r="D187" s="1">
        <v>18</v>
      </c>
      <c r="E187" s="1" t="str" cm="1">
        <f t="array" ref="E187">_xlfn.IFS(
D187&lt;20,"Light",
D187&lt;50,"Medium",
D187&lt;100,"Heavy",
D187&gt;=100,"Very Heavy")</f>
        <v>Light</v>
      </c>
      <c r="F187" s="2">
        <v>63</v>
      </c>
      <c r="G187" s="2" t="str" cm="1">
        <f t="array" ref="G187">_xlfn.IFS(
F187&lt;50,"Small",
F187&lt;100,"Medium",
F187&lt;150,"Large",
F187&gt;=150,"Very Large"
)</f>
        <v>Medium</v>
      </c>
      <c r="H187" s="2" t="s">
        <v>32</v>
      </c>
      <c r="I187" s="2">
        <v>52.812646999999998</v>
      </c>
      <c r="J187" s="2">
        <v>23.863299000000001</v>
      </c>
      <c r="K187" s="2" t="str">
        <f t="shared" si="9"/>
        <v>Available</v>
      </c>
      <c r="L187" s="2" t="s">
        <v>10</v>
      </c>
      <c r="M187" s="3">
        <v>45360</v>
      </c>
      <c r="N187" s="3" t="str">
        <f t="shared" si="10"/>
        <v>March</v>
      </c>
      <c r="O187" s="2" t="s">
        <v>6</v>
      </c>
      <c r="P187" t="str">
        <f t="shared" si="11"/>
        <v>OK</v>
      </c>
    </row>
    <row r="188" spans="1:16" x14ac:dyDescent="0.3">
      <c r="A188" s="2">
        <f t="shared" si="8"/>
        <v>187</v>
      </c>
      <c r="B188" s="2" t="s">
        <v>29</v>
      </c>
      <c r="C188" s="2" t="s">
        <v>4</v>
      </c>
      <c r="D188" s="1">
        <v>0.30199999999999999</v>
      </c>
      <c r="E188" s="1" t="str" cm="1">
        <f t="array" ref="E188">_xlfn.IFS(
D188&lt;20,"Light",
D188&lt;50,"Medium",
D188&lt;100,"Heavy",
D188&gt;=100,"Very Heavy")</f>
        <v>Light</v>
      </c>
      <c r="F188" s="2">
        <v>22</v>
      </c>
      <c r="G188" s="2" t="str" cm="1">
        <f t="array" ref="G188">_xlfn.IFS(
F188&lt;50,"Small",
F188&lt;100,"Medium",
F188&lt;150,"Large",
F188&gt;=150,"Very Large"
)</f>
        <v>Small</v>
      </c>
      <c r="H188" s="2" t="s">
        <v>32</v>
      </c>
      <c r="I188" s="2">
        <v>52.241374999999998</v>
      </c>
      <c r="J188" s="2">
        <v>21.050844999999999</v>
      </c>
      <c r="K188" s="2" t="str">
        <f t="shared" si="9"/>
        <v>Available</v>
      </c>
      <c r="L188" s="2" t="s">
        <v>10</v>
      </c>
      <c r="M188" s="3">
        <v>45360</v>
      </c>
      <c r="N188" s="3" t="str">
        <f t="shared" si="10"/>
        <v>March</v>
      </c>
      <c r="O188" s="2" t="s">
        <v>6</v>
      </c>
      <c r="P188" t="str">
        <f t="shared" si="11"/>
        <v>OK</v>
      </c>
    </row>
    <row r="189" spans="1:16" x14ac:dyDescent="0.3">
      <c r="A189" s="2">
        <f t="shared" si="8"/>
        <v>188</v>
      </c>
      <c r="B189" s="2" t="s">
        <v>29</v>
      </c>
      <c r="C189" s="2" t="s">
        <v>7</v>
      </c>
      <c r="D189" s="1">
        <v>0.28399999999999997</v>
      </c>
      <c r="E189" s="1" t="str" cm="1">
        <f t="array" ref="E189">_xlfn.IFS(
D189&lt;20,"Light",
D189&lt;50,"Medium",
D189&lt;100,"Heavy",
D189&gt;=100,"Very Heavy")</f>
        <v>Light</v>
      </c>
      <c r="F189" s="2">
        <v>20</v>
      </c>
      <c r="G189" s="2" t="str" cm="1">
        <f t="array" ref="G189">_xlfn.IFS(
F189&lt;50,"Small",
F189&lt;100,"Medium",
F189&lt;150,"Large",
F189&gt;=150,"Very Large"
)</f>
        <v>Small</v>
      </c>
      <c r="H189" s="2" t="s">
        <v>33</v>
      </c>
      <c r="I189" s="2">
        <v>47.50938</v>
      </c>
      <c r="J189" s="2">
        <v>18.949607</v>
      </c>
      <c r="K189" s="2" t="str">
        <f t="shared" si="9"/>
        <v>Available</v>
      </c>
      <c r="L189" s="2" t="s">
        <v>10</v>
      </c>
      <c r="M189" s="3">
        <v>45360</v>
      </c>
      <c r="N189" s="3" t="str">
        <f t="shared" si="10"/>
        <v>March</v>
      </c>
      <c r="O189" s="2" t="s">
        <v>6</v>
      </c>
      <c r="P189" t="str">
        <f t="shared" si="11"/>
        <v>OK</v>
      </c>
    </row>
    <row r="190" spans="1:16" x14ac:dyDescent="0.3">
      <c r="A190" s="2">
        <f t="shared" si="8"/>
        <v>189</v>
      </c>
      <c r="B190" s="2" t="s">
        <v>30</v>
      </c>
      <c r="C190" s="2" t="s">
        <v>15</v>
      </c>
      <c r="D190" s="1">
        <v>0.9</v>
      </c>
      <c r="E190" s="1" t="str" cm="1">
        <f t="array" ref="E190">_xlfn.IFS(
D190&lt;20,"Light",
D190&lt;50,"Medium",
D190&lt;100,"Heavy",
D190&gt;=100,"Very Heavy")</f>
        <v>Light</v>
      </c>
      <c r="F190" s="2">
        <v>22</v>
      </c>
      <c r="G190" s="2" t="str" cm="1">
        <f t="array" ref="G190">_xlfn.IFS(
F190&lt;50,"Small",
F190&lt;100,"Medium",
F190&lt;150,"Large",
F190&gt;=150,"Very Large"
)</f>
        <v>Small</v>
      </c>
      <c r="H190" s="2" t="s">
        <v>33</v>
      </c>
      <c r="I190" s="2">
        <v>50.106583000000001</v>
      </c>
      <c r="J190" s="2">
        <v>14.346470999999999</v>
      </c>
      <c r="K190" s="2" t="str">
        <f t="shared" si="9"/>
        <v>Available</v>
      </c>
      <c r="L190" s="2" t="s">
        <v>10</v>
      </c>
      <c r="M190" s="3">
        <v>45360</v>
      </c>
      <c r="N190" s="3" t="str">
        <f t="shared" si="10"/>
        <v>March</v>
      </c>
      <c r="O190" s="2" t="s">
        <v>14</v>
      </c>
      <c r="P190" t="str">
        <f t="shared" si="11"/>
        <v>OK</v>
      </c>
    </row>
    <row r="191" spans="1:16" x14ac:dyDescent="0.3">
      <c r="A191" s="2">
        <f t="shared" si="8"/>
        <v>190</v>
      </c>
      <c r="B191" s="2" t="s">
        <v>30</v>
      </c>
      <c r="C191" s="2" t="s">
        <v>15</v>
      </c>
      <c r="D191" s="1">
        <v>1.1000000000000001</v>
      </c>
      <c r="E191" s="1" t="str" cm="1">
        <f t="array" ref="E191">_xlfn.IFS(
D191&lt;20,"Light",
D191&lt;50,"Medium",
D191&lt;100,"Heavy",
D191&gt;=100,"Very Heavy")</f>
        <v>Light</v>
      </c>
      <c r="F191" s="2">
        <v>23</v>
      </c>
      <c r="G191" s="2" t="str" cm="1">
        <f t="array" ref="G191">_xlfn.IFS(
F191&lt;50,"Small",
F191&lt;100,"Medium",
F191&lt;150,"Large",
F191&gt;=150,"Very Large"
)</f>
        <v>Small</v>
      </c>
      <c r="H191" s="2" t="s">
        <v>32</v>
      </c>
      <c r="I191" s="2">
        <v>50.106960000000001</v>
      </c>
      <c r="J191" s="2">
        <v>14.346126</v>
      </c>
      <c r="K191" s="2" t="str">
        <f t="shared" si="9"/>
        <v>Available</v>
      </c>
      <c r="L191" s="2" t="s">
        <v>10</v>
      </c>
      <c r="M191" s="3">
        <v>45360</v>
      </c>
      <c r="N191" s="3" t="str">
        <f t="shared" si="10"/>
        <v>March</v>
      </c>
      <c r="O191" s="2" t="s">
        <v>14</v>
      </c>
      <c r="P191" t="str">
        <f t="shared" si="11"/>
        <v>OK</v>
      </c>
    </row>
    <row r="192" spans="1:16" x14ac:dyDescent="0.3">
      <c r="A192" s="2">
        <f t="shared" si="8"/>
        <v>191</v>
      </c>
      <c r="B192" s="2" t="s">
        <v>30</v>
      </c>
      <c r="C192" s="2" t="s">
        <v>15</v>
      </c>
      <c r="D192" s="1">
        <v>0.6</v>
      </c>
      <c r="E192" s="1" t="str" cm="1">
        <f t="array" ref="E192">_xlfn.IFS(
D192&lt;20,"Light",
D192&lt;50,"Medium",
D192&lt;100,"Heavy",
D192&gt;=100,"Very Heavy")</f>
        <v>Light</v>
      </c>
      <c r="F192" s="2">
        <v>19</v>
      </c>
      <c r="G192" s="2" t="str" cm="1">
        <f t="array" ref="G192">_xlfn.IFS(
F192&lt;50,"Small",
F192&lt;100,"Medium",
F192&lt;150,"Large",
F192&gt;=150,"Very Large"
)</f>
        <v>Small</v>
      </c>
      <c r="H192" s="2" t="s">
        <v>32</v>
      </c>
      <c r="I192" s="2">
        <v>50.106310999999998</v>
      </c>
      <c r="J192" s="2">
        <v>14.346906000000001</v>
      </c>
      <c r="K192" s="2" t="str">
        <f t="shared" si="9"/>
        <v>Available</v>
      </c>
      <c r="L192" s="2" t="s">
        <v>10</v>
      </c>
      <c r="M192" s="3">
        <v>45360</v>
      </c>
      <c r="N192" s="3" t="str">
        <f t="shared" si="10"/>
        <v>March</v>
      </c>
      <c r="O192" s="2" t="s">
        <v>14</v>
      </c>
      <c r="P192" t="str">
        <f t="shared" si="11"/>
        <v>OK</v>
      </c>
    </row>
    <row r="193" spans="1:16" x14ac:dyDescent="0.3">
      <c r="A193" s="2">
        <f t="shared" si="8"/>
        <v>192</v>
      </c>
      <c r="B193" s="2" t="s">
        <v>29</v>
      </c>
      <c r="C193" s="2" t="s">
        <v>15</v>
      </c>
      <c r="D193" s="1">
        <v>0.29299999999999998</v>
      </c>
      <c r="E193" s="1" t="str" cm="1">
        <f t="array" ref="E193">_xlfn.IFS(
D193&lt;20,"Light",
D193&lt;50,"Medium",
D193&lt;100,"Heavy",
D193&gt;=100,"Very Heavy")</f>
        <v>Light</v>
      </c>
      <c r="F193" s="2">
        <v>19</v>
      </c>
      <c r="G193" s="2" t="str" cm="1">
        <f t="array" ref="G193">_xlfn.IFS(
F193&lt;50,"Small",
F193&lt;100,"Medium",
F193&lt;150,"Large",
F193&gt;=150,"Very Large"
)</f>
        <v>Small</v>
      </c>
      <c r="H193" s="2" t="s">
        <v>32</v>
      </c>
      <c r="I193" s="2">
        <v>49.937415999999999</v>
      </c>
      <c r="J193" s="2">
        <v>14.181449000000001</v>
      </c>
      <c r="K193" s="2" t="str">
        <f t="shared" si="9"/>
        <v>Available</v>
      </c>
      <c r="L193" s="2" t="s">
        <v>10</v>
      </c>
      <c r="M193" s="3">
        <v>45360</v>
      </c>
      <c r="N193" s="3" t="str">
        <f t="shared" si="10"/>
        <v>March</v>
      </c>
      <c r="O193" s="2" t="s">
        <v>14</v>
      </c>
      <c r="P193" t="str">
        <f t="shared" si="11"/>
        <v>OK</v>
      </c>
    </row>
    <row r="194" spans="1:16" x14ac:dyDescent="0.3">
      <c r="A194" s="2">
        <f t="shared" si="8"/>
        <v>193</v>
      </c>
      <c r="B194" s="2" t="s">
        <v>30</v>
      </c>
      <c r="C194" s="2" t="s">
        <v>7</v>
      </c>
      <c r="D194" s="1">
        <v>0.9</v>
      </c>
      <c r="E194" s="1" t="str" cm="1">
        <f t="array" ref="E194">_xlfn.IFS(
D194&lt;20,"Light",
D194&lt;50,"Medium",
D194&lt;100,"Heavy",
D194&gt;=100,"Very Heavy")</f>
        <v>Light</v>
      </c>
      <c r="F194" s="2">
        <v>20</v>
      </c>
      <c r="G194" s="2" t="str" cm="1">
        <f t="array" ref="G194">_xlfn.IFS(
F194&lt;50,"Small",
F194&lt;100,"Medium",
F194&lt;150,"Large",
F194&gt;=150,"Very Large"
)</f>
        <v>Small</v>
      </c>
      <c r="H194" s="2" t="s">
        <v>33</v>
      </c>
      <c r="I194" s="2">
        <v>48.51108</v>
      </c>
      <c r="J194" s="2">
        <v>20.567191999999999</v>
      </c>
      <c r="K194" s="2" t="str">
        <f t="shared" si="9"/>
        <v>Available</v>
      </c>
      <c r="L194" s="2" t="s">
        <v>10</v>
      </c>
      <c r="M194" s="3">
        <v>45361</v>
      </c>
      <c r="N194" s="3" t="str">
        <f t="shared" si="10"/>
        <v>March</v>
      </c>
      <c r="O194" s="2" t="s">
        <v>6</v>
      </c>
      <c r="P194" t="str">
        <f t="shared" si="11"/>
        <v>OK</v>
      </c>
    </row>
    <row r="195" spans="1:16" x14ac:dyDescent="0.3">
      <c r="A195" s="2">
        <f t="shared" ref="A195:A258" si="12">ROW()-1</f>
        <v>194</v>
      </c>
      <c r="B195" s="2" t="s">
        <v>30</v>
      </c>
      <c r="C195" s="2" t="s">
        <v>7</v>
      </c>
      <c r="D195" s="1">
        <v>0.9</v>
      </c>
      <c r="E195" s="1" t="str" cm="1">
        <f t="array" ref="E195">_xlfn.IFS(
D195&lt;20,"Light",
D195&lt;50,"Medium",
D195&lt;100,"Heavy",
D195&gt;=100,"Very Heavy")</f>
        <v>Light</v>
      </c>
      <c r="F195" s="2">
        <v>21</v>
      </c>
      <c r="G195" s="2" t="str" cm="1">
        <f t="array" ref="G195">_xlfn.IFS(
F195&lt;50,"Small",
F195&lt;100,"Medium",
F195&lt;150,"Large",
F195&gt;=150,"Very Large"
)</f>
        <v>Small</v>
      </c>
      <c r="H195" s="2" t="s">
        <v>32</v>
      </c>
      <c r="I195" s="2">
        <v>48.505290000000002</v>
      </c>
      <c r="J195" s="2">
        <v>20.566168999999999</v>
      </c>
      <c r="K195" s="2" t="str">
        <f t="shared" ref="K195:K258" si="13">IF(OR(I195="",J195=""),"Missing Location","Available")</f>
        <v>Available</v>
      </c>
      <c r="L195" s="2" t="s">
        <v>10</v>
      </c>
      <c r="M195" s="3">
        <v>45361</v>
      </c>
      <c r="N195" s="3" t="str">
        <f t="shared" ref="N195:N258" si="14">TEXT(M195,"mmmm")</f>
        <v>March</v>
      </c>
      <c r="O195" s="2" t="s">
        <v>6</v>
      </c>
      <c r="P195" t="str">
        <f t="shared" ref="P195:P258" si="15">IF(OR(B195="",C195="",D195="",E195="",J195=""),"Needs Review","OK")</f>
        <v>OK</v>
      </c>
    </row>
    <row r="196" spans="1:16" x14ac:dyDescent="0.3">
      <c r="A196" s="2">
        <f t="shared" si="12"/>
        <v>195</v>
      </c>
      <c r="B196" s="2" t="s">
        <v>30</v>
      </c>
      <c r="C196" s="2" t="s">
        <v>7</v>
      </c>
      <c r="D196" s="1">
        <v>1.1000000000000001</v>
      </c>
      <c r="E196" s="1" t="str" cm="1">
        <f t="array" ref="E196">_xlfn.IFS(
D196&lt;20,"Light",
D196&lt;50,"Medium",
D196&lt;100,"Heavy",
D196&gt;=100,"Very Heavy")</f>
        <v>Light</v>
      </c>
      <c r="F196" s="2">
        <v>26</v>
      </c>
      <c r="G196" s="2" t="str" cm="1">
        <f t="array" ref="G196">_xlfn.IFS(
F196&lt;50,"Small",
F196&lt;100,"Medium",
F196&lt;150,"Large",
F196&gt;=150,"Very Large"
)</f>
        <v>Small</v>
      </c>
      <c r="H196" s="2" t="s">
        <v>32</v>
      </c>
      <c r="I196" s="2">
        <v>48.502485999999998</v>
      </c>
      <c r="J196" s="2">
        <v>20.562564999999999</v>
      </c>
      <c r="K196" s="2" t="str">
        <f t="shared" si="13"/>
        <v>Available</v>
      </c>
      <c r="L196" s="2" t="s">
        <v>10</v>
      </c>
      <c r="M196" s="3">
        <v>45361</v>
      </c>
      <c r="N196" s="3" t="str">
        <f t="shared" si="14"/>
        <v>March</v>
      </c>
      <c r="O196" s="2" t="s">
        <v>6</v>
      </c>
      <c r="P196" t="str">
        <f t="shared" si="15"/>
        <v>OK</v>
      </c>
    </row>
    <row r="197" spans="1:16" x14ac:dyDescent="0.3">
      <c r="A197" s="2">
        <f t="shared" si="12"/>
        <v>196</v>
      </c>
      <c r="B197" s="2" t="s">
        <v>28</v>
      </c>
      <c r="C197" s="2" t="s">
        <v>7</v>
      </c>
      <c r="D197" s="1">
        <v>23</v>
      </c>
      <c r="E197" s="1" t="str" cm="1">
        <f t="array" ref="E197">_xlfn.IFS(
D197&lt;20,"Light",
D197&lt;50,"Medium",
D197&lt;100,"Heavy",
D197&gt;=100,"Very Heavy")</f>
        <v>Medium</v>
      </c>
      <c r="F197" s="2">
        <v>77</v>
      </c>
      <c r="G197" s="2" t="str" cm="1">
        <f t="array" ref="G197">_xlfn.IFS(
F197&lt;50,"Small",
F197&lt;100,"Medium",
F197&lt;150,"Large",
F197&gt;=150,"Very Large"
)</f>
        <v>Medium</v>
      </c>
      <c r="H197" s="2" t="s">
        <v>33</v>
      </c>
      <c r="I197" s="2">
        <v>48.509272000000003</v>
      </c>
      <c r="J197" s="2">
        <v>20.551952</v>
      </c>
      <c r="K197" s="2" t="str">
        <f t="shared" si="13"/>
        <v>Available</v>
      </c>
      <c r="L197" s="2" t="s">
        <v>10</v>
      </c>
      <c r="M197" s="3">
        <v>45361</v>
      </c>
      <c r="N197" s="3" t="str">
        <f t="shared" si="14"/>
        <v>March</v>
      </c>
      <c r="O197" s="2" t="s">
        <v>6</v>
      </c>
      <c r="P197" t="str">
        <f t="shared" si="15"/>
        <v>OK</v>
      </c>
    </row>
    <row r="198" spans="1:16" x14ac:dyDescent="0.3">
      <c r="A198" s="2">
        <f t="shared" si="12"/>
        <v>197</v>
      </c>
      <c r="B198" s="2" t="s">
        <v>28</v>
      </c>
      <c r="C198" s="2" t="s">
        <v>7</v>
      </c>
      <c r="D198" s="1">
        <v>15</v>
      </c>
      <c r="E198" s="1" t="str" cm="1">
        <f t="array" ref="E198">_xlfn.IFS(
D198&lt;20,"Light",
D198&lt;50,"Medium",
D198&lt;100,"Heavy",
D198&gt;=100,"Very Heavy")</f>
        <v>Light</v>
      </c>
      <c r="F198" s="2">
        <v>71</v>
      </c>
      <c r="G198" s="2" t="str" cm="1">
        <f t="array" ref="G198">_xlfn.IFS(
F198&lt;50,"Small",
F198&lt;100,"Medium",
F198&lt;150,"Large",
F198&gt;=150,"Very Large"
)</f>
        <v>Medium</v>
      </c>
      <c r="H198" s="2" t="s">
        <v>32</v>
      </c>
      <c r="I198" s="2">
        <v>48.501179999999998</v>
      </c>
      <c r="J198" s="2">
        <v>20.557431999999999</v>
      </c>
      <c r="K198" s="2" t="str">
        <f t="shared" si="13"/>
        <v>Available</v>
      </c>
      <c r="L198" s="2" t="s">
        <v>10</v>
      </c>
      <c r="M198" s="3">
        <v>45361</v>
      </c>
      <c r="N198" s="3" t="str">
        <f t="shared" si="14"/>
        <v>March</v>
      </c>
      <c r="O198" s="2" t="s">
        <v>6</v>
      </c>
      <c r="P198" t="str">
        <f t="shared" si="15"/>
        <v>OK</v>
      </c>
    </row>
    <row r="199" spans="1:16" x14ac:dyDescent="0.3">
      <c r="A199" s="2">
        <f t="shared" si="12"/>
        <v>198</v>
      </c>
      <c r="B199" s="2" t="s">
        <v>30</v>
      </c>
      <c r="C199" s="2" t="s">
        <v>15</v>
      </c>
      <c r="D199" s="1">
        <v>0.8</v>
      </c>
      <c r="E199" s="1" t="str" cm="1">
        <f t="array" ref="E199">_xlfn.IFS(
D199&lt;20,"Light",
D199&lt;50,"Medium",
D199&lt;100,"Heavy",
D199&gt;=100,"Very Heavy")</f>
        <v>Light</v>
      </c>
      <c r="F199" s="2">
        <v>17</v>
      </c>
      <c r="G199" s="2" t="str" cm="1">
        <f t="array" ref="G199">_xlfn.IFS(
F199&lt;50,"Small",
F199&lt;100,"Medium",
F199&lt;150,"Large",
F199&gt;=150,"Very Large"
)</f>
        <v>Small</v>
      </c>
      <c r="H199" s="2" t="s">
        <v>32</v>
      </c>
      <c r="I199" s="2">
        <v>49.938707000000001</v>
      </c>
      <c r="J199" s="2">
        <v>14.182506999999999</v>
      </c>
      <c r="K199" s="2" t="str">
        <f t="shared" si="13"/>
        <v>Available</v>
      </c>
      <c r="L199" s="2" t="s">
        <v>10</v>
      </c>
      <c r="M199" s="3">
        <v>45361</v>
      </c>
      <c r="N199" s="3" t="str">
        <f t="shared" si="14"/>
        <v>March</v>
      </c>
      <c r="O199" s="2" t="s">
        <v>14</v>
      </c>
      <c r="P199" t="str">
        <f t="shared" si="15"/>
        <v>OK</v>
      </c>
    </row>
    <row r="200" spans="1:16" x14ac:dyDescent="0.3">
      <c r="A200" s="2">
        <f t="shared" si="12"/>
        <v>199</v>
      </c>
      <c r="B200" s="2" t="s">
        <v>30</v>
      </c>
      <c r="C200" s="2" t="s">
        <v>15</v>
      </c>
      <c r="D200" s="1">
        <v>0.5</v>
      </c>
      <c r="E200" s="1" t="str" cm="1">
        <f t="array" ref="E200">_xlfn.IFS(
D200&lt;20,"Light",
D200&lt;50,"Medium",
D200&lt;100,"Heavy",
D200&gt;=100,"Very Heavy")</f>
        <v>Light</v>
      </c>
      <c r="F200" s="2">
        <v>18</v>
      </c>
      <c r="G200" s="2" t="str" cm="1">
        <f t="array" ref="G200">_xlfn.IFS(
F200&lt;50,"Small",
F200&lt;100,"Medium",
F200&lt;150,"Large",
F200&gt;=150,"Very Large"
)</f>
        <v>Small</v>
      </c>
      <c r="H200" s="2" t="s">
        <v>33</v>
      </c>
      <c r="I200" s="2">
        <v>49.937531</v>
      </c>
      <c r="J200" s="2">
        <v>14.180358999999999</v>
      </c>
      <c r="K200" s="2" t="str">
        <f t="shared" si="13"/>
        <v>Available</v>
      </c>
      <c r="L200" s="2" t="s">
        <v>10</v>
      </c>
      <c r="M200" s="3">
        <v>45361</v>
      </c>
      <c r="N200" s="3" t="str">
        <f t="shared" si="14"/>
        <v>March</v>
      </c>
      <c r="O200" s="2" t="s">
        <v>14</v>
      </c>
      <c r="P200" t="str">
        <f t="shared" si="15"/>
        <v>OK</v>
      </c>
    </row>
    <row r="201" spans="1:16" x14ac:dyDescent="0.3">
      <c r="A201" s="2">
        <f t="shared" si="12"/>
        <v>200</v>
      </c>
      <c r="B201" s="2" t="s">
        <v>30</v>
      </c>
      <c r="C201" s="2" t="s">
        <v>15</v>
      </c>
      <c r="D201" s="1">
        <v>0.7</v>
      </c>
      <c r="E201" s="1" t="str" cm="1">
        <f t="array" ref="E201">_xlfn.IFS(
D201&lt;20,"Light",
D201&lt;50,"Medium",
D201&lt;100,"Heavy",
D201&gt;=100,"Very Heavy")</f>
        <v>Light</v>
      </c>
      <c r="F201" s="2">
        <v>17</v>
      </c>
      <c r="G201" s="2" t="str" cm="1">
        <f t="array" ref="G201">_xlfn.IFS(
F201&lt;50,"Small",
F201&lt;100,"Medium",
F201&lt;150,"Large",
F201&gt;=150,"Very Large"
)</f>
        <v>Small</v>
      </c>
      <c r="H201" s="2" t="s">
        <v>33</v>
      </c>
      <c r="I201" s="2">
        <v>49.937890000000003</v>
      </c>
      <c r="J201" s="2">
        <v>14.180882</v>
      </c>
      <c r="K201" s="2" t="str">
        <f t="shared" si="13"/>
        <v>Available</v>
      </c>
      <c r="L201" s="2" t="s">
        <v>10</v>
      </c>
      <c r="M201" s="3">
        <v>45361</v>
      </c>
      <c r="N201" s="3" t="str">
        <f t="shared" si="14"/>
        <v>March</v>
      </c>
      <c r="O201" s="2" t="s">
        <v>14</v>
      </c>
      <c r="P201" t="str">
        <f t="shared" si="15"/>
        <v>OK</v>
      </c>
    </row>
    <row r="202" spans="1:16" x14ac:dyDescent="0.3">
      <c r="A202" s="2">
        <f t="shared" si="12"/>
        <v>201</v>
      </c>
      <c r="B202" s="2" t="s">
        <v>30</v>
      </c>
      <c r="C202" s="2" t="s">
        <v>15</v>
      </c>
      <c r="D202" s="1">
        <v>0.5</v>
      </c>
      <c r="E202" s="1" t="str" cm="1">
        <f t="array" ref="E202">_xlfn.IFS(
D202&lt;20,"Light",
D202&lt;50,"Medium",
D202&lt;100,"Heavy",
D202&gt;=100,"Very Heavy")</f>
        <v>Light</v>
      </c>
      <c r="F202" s="2">
        <v>15</v>
      </c>
      <c r="G202" s="2" t="str" cm="1">
        <f t="array" ref="G202">_xlfn.IFS(
F202&lt;50,"Small",
F202&lt;100,"Medium",
F202&lt;150,"Large",
F202&gt;=150,"Very Large"
)</f>
        <v>Small</v>
      </c>
      <c r="H202" s="2" t="s">
        <v>33</v>
      </c>
      <c r="I202" s="2">
        <v>49.937339999999999</v>
      </c>
      <c r="J202" s="2">
        <v>14.180709999999999</v>
      </c>
      <c r="K202" s="2" t="str">
        <f t="shared" si="13"/>
        <v>Available</v>
      </c>
      <c r="L202" s="2" t="s">
        <v>10</v>
      </c>
      <c r="M202" s="3">
        <v>45361</v>
      </c>
      <c r="N202" s="3" t="str">
        <f t="shared" si="14"/>
        <v>March</v>
      </c>
      <c r="O202" s="2" t="s">
        <v>14</v>
      </c>
      <c r="P202" t="str">
        <f t="shared" si="15"/>
        <v>OK</v>
      </c>
    </row>
    <row r="203" spans="1:16" x14ac:dyDescent="0.3">
      <c r="A203" s="2">
        <f t="shared" si="12"/>
        <v>202</v>
      </c>
      <c r="B203" s="2" t="s">
        <v>27</v>
      </c>
      <c r="C203" s="2" t="s">
        <v>4</v>
      </c>
      <c r="D203" s="1">
        <v>24</v>
      </c>
      <c r="E203" s="1" t="str" cm="1">
        <f t="array" ref="E203">_xlfn.IFS(
D203&lt;20,"Light",
D203&lt;50,"Medium",
D203&lt;100,"Heavy",
D203&gt;=100,"Very Heavy")</f>
        <v>Medium</v>
      </c>
      <c r="F203" s="2">
        <v>100</v>
      </c>
      <c r="G203" s="2" t="str" cm="1">
        <f t="array" ref="G203">_xlfn.IFS(
F203&lt;50,"Small",
F203&lt;100,"Medium",
F203&lt;150,"Large",
F203&gt;=150,"Very Large"
)</f>
        <v>Large</v>
      </c>
      <c r="H203" s="2" t="s">
        <v>33</v>
      </c>
      <c r="I203" s="2">
        <v>52.834111999999998</v>
      </c>
      <c r="J203" s="2">
        <v>23.825721999999999</v>
      </c>
      <c r="K203" s="2" t="str">
        <f t="shared" si="13"/>
        <v>Available</v>
      </c>
      <c r="L203" s="2" t="s">
        <v>10</v>
      </c>
      <c r="M203" s="3">
        <v>45362</v>
      </c>
      <c r="N203" s="3" t="str">
        <f t="shared" si="14"/>
        <v>March</v>
      </c>
      <c r="O203" s="2" t="s">
        <v>6</v>
      </c>
      <c r="P203" t="str">
        <f t="shared" si="15"/>
        <v>OK</v>
      </c>
    </row>
    <row r="204" spans="1:16" x14ac:dyDescent="0.3">
      <c r="A204" s="2">
        <f t="shared" si="12"/>
        <v>203</v>
      </c>
      <c r="B204" s="2" t="s">
        <v>30</v>
      </c>
      <c r="C204" s="2" t="s">
        <v>7</v>
      </c>
      <c r="D204" s="1">
        <v>0.9</v>
      </c>
      <c r="E204" s="1" t="str" cm="1">
        <f t="array" ref="E204">_xlfn.IFS(
D204&lt;20,"Light",
D204&lt;50,"Medium",
D204&lt;100,"Heavy",
D204&gt;=100,"Very Heavy")</f>
        <v>Light</v>
      </c>
      <c r="F204" s="2">
        <v>19</v>
      </c>
      <c r="G204" s="2" t="str" cm="1">
        <f t="array" ref="G204">_xlfn.IFS(
F204&lt;50,"Small",
F204&lt;100,"Medium",
F204&lt;150,"Large",
F204&gt;=150,"Very Large"
)</f>
        <v>Small</v>
      </c>
      <c r="H204" s="2" t="s">
        <v>33</v>
      </c>
      <c r="I204" s="2">
        <v>48.505634000000001</v>
      </c>
      <c r="J204" s="2">
        <v>20.543417000000002</v>
      </c>
      <c r="K204" s="2" t="str">
        <f t="shared" si="13"/>
        <v>Available</v>
      </c>
      <c r="L204" s="2" t="s">
        <v>10</v>
      </c>
      <c r="M204" s="3">
        <v>45362</v>
      </c>
      <c r="N204" s="3" t="str">
        <f t="shared" si="14"/>
        <v>March</v>
      </c>
      <c r="O204" s="2" t="s">
        <v>6</v>
      </c>
      <c r="P204" t="str">
        <f t="shared" si="15"/>
        <v>OK</v>
      </c>
    </row>
    <row r="205" spans="1:16" x14ac:dyDescent="0.3">
      <c r="A205" s="2">
        <f t="shared" si="12"/>
        <v>204</v>
      </c>
      <c r="B205" s="2" t="s">
        <v>30</v>
      </c>
      <c r="C205" s="2" t="s">
        <v>4</v>
      </c>
      <c r="D205" s="1">
        <v>0.8</v>
      </c>
      <c r="E205" s="1" t="str" cm="1">
        <f t="array" ref="E205">_xlfn.IFS(
D205&lt;20,"Light",
D205&lt;50,"Medium",
D205&lt;100,"Heavy",
D205&gt;=100,"Very Heavy")</f>
        <v>Light</v>
      </c>
      <c r="F205" s="2">
        <v>16</v>
      </c>
      <c r="G205" s="2" t="str" cm="1">
        <f t="array" ref="G205">_xlfn.IFS(
F205&lt;50,"Small",
F205&lt;100,"Medium",
F205&lt;150,"Large",
F205&gt;=150,"Very Large"
)</f>
        <v>Small</v>
      </c>
      <c r="H205" s="2" t="s">
        <v>33</v>
      </c>
      <c r="I205" s="2">
        <v>52.214967999999999</v>
      </c>
      <c r="J205" s="2">
        <v>21.030987</v>
      </c>
      <c r="K205" s="2" t="str">
        <f t="shared" si="13"/>
        <v>Available</v>
      </c>
      <c r="L205" s="2" t="s">
        <v>10</v>
      </c>
      <c r="M205" s="3">
        <v>45362</v>
      </c>
      <c r="N205" s="3" t="str">
        <f t="shared" si="14"/>
        <v>March</v>
      </c>
      <c r="O205" s="2" t="s">
        <v>6</v>
      </c>
      <c r="P205" t="str">
        <f t="shared" si="15"/>
        <v>OK</v>
      </c>
    </row>
    <row r="206" spans="1:16" x14ac:dyDescent="0.3">
      <c r="A206" s="2">
        <f t="shared" si="12"/>
        <v>205</v>
      </c>
      <c r="B206" s="2" t="s">
        <v>28</v>
      </c>
      <c r="C206" s="2" t="s">
        <v>7</v>
      </c>
      <c r="D206" s="1">
        <v>20</v>
      </c>
      <c r="E206" s="1" t="str" cm="1">
        <f t="array" ref="E206">_xlfn.IFS(
D206&lt;20,"Light",
D206&lt;50,"Medium",
D206&lt;100,"Heavy",
D206&gt;=100,"Very Heavy")</f>
        <v>Medium</v>
      </c>
      <c r="F206" s="2">
        <v>90</v>
      </c>
      <c r="G206" s="2" t="str" cm="1">
        <f t="array" ref="G206">_xlfn.IFS(
F206&lt;50,"Small",
F206&lt;100,"Medium",
F206&lt;150,"Large",
F206&gt;=150,"Very Large"
)</f>
        <v>Medium</v>
      </c>
      <c r="H206" s="2" t="s">
        <v>33</v>
      </c>
      <c r="I206" s="2">
        <v>48.501938000000003</v>
      </c>
      <c r="J206" s="2">
        <v>20.567813999999998</v>
      </c>
      <c r="K206" s="2" t="str">
        <f t="shared" si="13"/>
        <v>Available</v>
      </c>
      <c r="L206" s="2" t="s">
        <v>10</v>
      </c>
      <c r="M206" s="3">
        <v>45362</v>
      </c>
      <c r="N206" s="3" t="str">
        <f t="shared" si="14"/>
        <v>March</v>
      </c>
      <c r="O206" s="2" t="s">
        <v>6</v>
      </c>
      <c r="P206" t="str">
        <f t="shared" si="15"/>
        <v>OK</v>
      </c>
    </row>
    <row r="207" spans="1:16" x14ac:dyDescent="0.3">
      <c r="A207" s="2">
        <f t="shared" si="12"/>
        <v>206</v>
      </c>
      <c r="B207" s="2" t="s">
        <v>29</v>
      </c>
      <c r="C207" s="2" t="s">
        <v>7</v>
      </c>
      <c r="D207" s="1">
        <v>0.32200000000000001</v>
      </c>
      <c r="E207" s="1" t="str" cm="1">
        <f t="array" ref="E207">_xlfn.IFS(
D207&lt;20,"Light",
D207&lt;50,"Medium",
D207&lt;100,"Heavy",
D207&gt;=100,"Very Heavy")</f>
        <v>Light</v>
      </c>
      <c r="F207" s="2">
        <v>21</v>
      </c>
      <c r="G207" s="2" t="str" cm="1">
        <f t="array" ref="G207">_xlfn.IFS(
F207&lt;50,"Small",
F207&lt;100,"Medium",
F207&lt;150,"Large",
F207&gt;=150,"Very Large"
)</f>
        <v>Small</v>
      </c>
      <c r="H207" s="2" t="s">
        <v>32</v>
      </c>
      <c r="I207" s="2">
        <v>48.506216999999999</v>
      </c>
      <c r="J207" s="2">
        <v>20.545055000000001</v>
      </c>
      <c r="K207" s="2" t="str">
        <f t="shared" si="13"/>
        <v>Available</v>
      </c>
      <c r="L207" s="2" t="s">
        <v>10</v>
      </c>
      <c r="M207" s="3">
        <v>45362</v>
      </c>
      <c r="N207" s="3" t="str">
        <f t="shared" si="14"/>
        <v>March</v>
      </c>
      <c r="O207" s="2" t="s">
        <v>6</v>
      </c>
      <c r="P207" t="str">
        <f t="shared" si="15"/>
        <v>OK</v>
      </c>
    </row>
    <row r="208" spans="1:16" x14ac:dyDescent="0.3">
      <c r="A208" s="2">
        <f t="shared" si="12"/>
        <v>207</v>
      </c>
      <c r="B208" s="2" t="s">
        <v>29</v>
      </c>
      <c r="C208" s="2" t="s">
        <v>7</v>
      </c>
      <c r="D208" s="1">
        <v>0.28199999999999997</v>
      </c>
      <c r="E208" s="1" t="str" cm="1">
        <f t="array" ref="E208">_xlfn.IFS(
D208&lt;20,"Light",
D208&lt;50,"Medium",
D208&lt;100,"Heavy",
D208&gt;=100,"Very Heavy")</f>
        <v>Light</v>
      </c>
      <c r="F208" s="2">
        <v>21</v>
      </c>
      <c r="G208" s="2" t="str" cm="1">
        <f t="array" ref="G208">_xlfn.IFS(
F208&lt;50,"Small",
F208&lt;100,"Medium",
F208&lt;150,"Large",
F208&gt;=150,"Very Large"
)</f>
        <v>Small</v>
      </c>
      <c r="H208" s="2" t="s">
        <v>32</v>
      </c>
      <c r="K208" s="2" t="str">
        <f t="shared" si="13"/>
        <v>Missing Location</v>
      </c>
      <c r="L208" s="2" t="s">
        <v>10</v>
      </c>
      <c r="M208" s="3">
        <v>45362</v>
      </c>
      <c r="N208" s="3" t="str">
        <f t="shared" si="14"/>
        <v>March</v>
      </c>
      <c r="O208" s="2" t="s">
        <v>6</v>
      </c>
      <c r="P208" t="str">
        <f t="shared" si="15"/>
        <v>Needs Review</v>
      </c>
    </row>
    <row r="209" spans="1:16" x14ac:dyDescent="0.3">
      <c r="A209" s="2">
        <f t="shared" si="12"/>
        <v>208</v>
      </c>
      <c r="B209" s="2" t="s">
        <v>29</v>
      </c>
      <c r="C209" s="2" t="s">
        <v>7</v>
      </c>
      <c r="D209" s="1">
        <v>0.311</v>
      </c>
      <c r="E209" s="1" t="str" cm="1">
        <f t="array" ref="E209">_xlfn.IFS(
D209&lt;20,"Light",
D209&lt;50,"Medium",
D209&lt;100,"Heavy",
D209&gt;=100,"Very Heavy")</f>
        <v>Light</v>
      </c>
      <c r="F209" s="2">
        <v>22</v>
      </c>
      <c r="G209" s="2" t="str" cm="1">
        <f t="array" ref="G209">_xlfn.IFS(
F209&lt;50,"Small",
F209&lt;100,"Medium",
F209&lt;150,"Large",
F209&gt;=150,"Very Large"
)</f>
        <v>Small</v>
      </c>
      <c r="H209" s="2" t="s">
        <v>33</v>
      </c>
      <c r="I209" s="2">
        <v>48.505737000000003</v>
      </c>
      <c r="J209" s="2">
        <v>20.546731000000001</v>
      </c>
      <c r="K209" s="2" t="str">
        <f t="shared" si="13"/>
        <v>Available</v>
      </c>
      <c r="L209" s="2" t="s">
        <v>10</v>
      </c>
      <c r="M209" s="3">
        <v>45362</v>
      </c>
      <c r="N209" s="3" t="str">
        <f t="shared" si="14"/>
        <v>March</v>
      </c>
      <c r="O209" s="2" t="s">
        <v>6</v>
      </c>
      <c r="P209" t="str">
        <f t="shared" si="15"/>
        <v>OK</v>
      </c>
    </row>
    <row r="210" spans="1:16" x14ac:dyDescent="0.3">
      <c r="A210" s="2">
        <f t="shared" si="12"/>
        <v>209</v>
      </c>
      <c r="B210" s="2" t="s">
        <v>29</v>
      </c>
      <c r="C210" s="2" t="s">
        <v>7</v>
      </c>
      <c r="D210" s="1">
        <v>0.33600000000000002</v>
      </c>
      <c r="E210" s="1" t="str" cm="1">
        <f t="array" ref="E210">_xlfn.IFS(
D210&lt;20,"Light",
D210&lt;50,"Medium",
D210&lt;100,"Heavy",
D210&gt;=100,"Very Heavy")</f>
        <v>Light</v>
      </c>
      <c r="F210" s="2">
        <v>22</v>
      </c>
      <c r="G210" s="2" t="str" cm="1">
        <f t="array" ref="G210">_xlfn.IFS(
F210&lt;50,"Small",
F210&lt;100,"Medium",
F210&lt;150,"Large",
F210&gt;=150,"Very Large"
)</f>
        <v>Small</v>
      </c>
      <c r="H210" s="2" t="s">
        <v>33</v>
      </c>
      <c r="I210" s="2">
        <v>48.506095000000002</v>
      </c>
      <c r="J210" s="2">
        <v>20.543032</v>
      </c>
      <c r="K210" s="2" t="str">
        <f t="shared" si="13"/>
        <v>Available</v>
      </c>
      <c r="L210" s="2" t="s">
        <v>10</v>
      </c>
      <c r="M210" s="3">
        <v>45362</v>
      </c>
      <c r="N210" s="3" t="str">
        <f t="shared" si="14"/>
        <v>March</v>
      </c>
      <c r="O210" s="2" t="s">
        <v>6</v>
      </c>
      <c r="P210" t="str">
        <f t="shared" si="15"/>
        <v>OK</v>
      </c>
    </row>
    <row r="211" spans="1:16" x14ac:dyDescent="0.3">
      <c r="A211" s="2">
        <f t="shared" si="12"/>
        <v>210</v>
      </c>
      <c r="B211" s="2" t="s">
        <v>29</v>
      </c>
      <c r="C211" s="2" t="s">
        <v>7</v>
      </c>
      <c r="D211" s="1">
        <v>0.28999999999999998</v>
      </c>
      <c r="E211" s="1" t="str" cm="1">
        <f t="array" ref="E211">_xlfn.IFS(
D211&lt;20,"Light",
D211&lt;50,"Medium",
D211&lt;100,"Heavy",
D211&gt;=100,"Very Heavy")</f>
        <v>Light</v>
      </c>
      <c r="F211" s="2">
        <v>21</v>
      </c>
      <c r="G211" s="2" t="str" cm="1">
        <f t="array" ref="G211">_xlfn.IFS(
F211&lt;50,"Small",
F211&lt;100,"Medium",
F211&lt;150,"Large",
F211&gt;=150,"Very Large"
)</f>
        <v>Small</v>
      </c>
      <c r="H211" s="2" t="s">
        <v>32</v>
      </c>
      <c r="I211" s="2">
        <v>48.506428999999997</v>
      </c>
      <c r="J211" s="2">
        <v>20.543875</v>
      </c>
      <c r="K211" s="2" t="str">
        <f t="shared" si="13"/>
        <v>Available</v>
      </c>
      <c r="L211" s="2" t="s">
        <v>10</v>
      </c>
      <c r="M211" s="3">
        <v>45362</v>
      </c>
      <c r="N211" s="3" t="str">
        <f t="shared" si="14"/>
        <v>March</v>
      </c>
      <c r="O211" s="2" t="s">
        <v>6</v>
      </c>
      <c r="P211" t="str">
        <f t="shared" si="15"/>
        <v>OK</v>
      </c>
    </row>
    <row r="212" spans="1:16" x14ac:dyDescent="0.3">
      <c r="A212" s="2">
        <f t="shared" si="12"/>
        <v>211</v>
      </c>
      <c r="B212" s="2" t="s">
        <v>29</v>
      </c>
      <c r="C212" s="2" t="s">
        <v>7</v>
      </c>
      <c r="D212" s="1">
        <v>0.29299999999999998</v>
      </c>
      <c r="E212" s="1" t="str" cm="1">
        <f t="array" ref="E212">_xlfn.IFS(
D212&lt;20,"Light",
D212&lt;50,"Medium",
D212&lt;100,"Heavy",
D212&gt;=100,"Very Heavy")</f>
        <v>Light</v>
      </c>
      <c r="F212" s="2">
        <v>20</v>
      </c>
      <c r="G212" s="2" t="str" cm="1">
        <f t="array" ref="G212">_xlfn.IFS(
F212&lt;50,"Small",
F212&lt;100,"Medium",
F212&lt;150,"Large",
F212&gt;=150,"Very Large"
)</f>
        <v>Small</v>
      </c>
      <c r="H212" s="2" t="s">
        <v>32</v>
      </c>
      <c r="I212" s="2">
        <v>48.505859999999998</v>
      </c>
      <c r="J212" s="2">
        <v>20.547649</v>
      </c>
      <c r="K212" s="2" t="str">
        <f t="shared" si="13"/>
        <v>Available</v>
      </c>
      <c r="L212" s="2" t="s">
        <v>10</v>
      </c>
      <c r="M212" s="3">
        <v>45362</v>
      </c>
      <c r="N212" s="3" t="str">
        <f t="shared" si="14"/>
        <v>March</v>
      </c>
      <c r="O212" s="2" t="s">
        <v>6</v>
      </c>
      <c r="P212" t="str">
        <f t="shared" si="15"/>
        <v>OK</v>
      </c>
    </row>
    <row r="213" spans="1:16" x14ac:dyDescent="0.3">
      <c r="A213" s="2">
        <f t="shared" si="12"/>
        <v>212</v>
      </c>
      <c r="B213" s="2" t="s">
        <v>29</v>
      </c>
      <c r="C213" s="2" t="s">
        <v>7</v>
      </c>
      <c r="D213" s="1">
        <v>0.33500000000000002</v>
      </c>
      <c r="E213" s="1" t="str" cm="1">
        <f t="array" ref="E213">_xlfn.IFS(
D213&lt;20,"Light",
D213&lt;50,"Medium",
D213&lt;100,"Heavy",
D213&gt;=100,"Very Heavy")</f>
        <v>Light</v>
      </c>
      <c r="F213" s="2">
        <v>19</v>
      </c>
      <c r="G213" s="2" t="str" cm="1">
        <f t="array" ref="G213">_xlfn.IFS(
F213&lt;50,"Small",
F213&lt;100,"Medium",
F213&lt;150,"Large",
F213&gt;=150,"Very Large"
)</f>
        <v>Small</v>
      </c>
      <c r="H213" s="2" t="s">
        <v>33</v>
      </c>
      <c r="I213" s="2">
        <v>48.502521000000002</v>
      </c>
      <c r="J213" s="2">
        <v>20.558578000000001</v>
      </c>
      <c r="K213" s="2" t="str">
        <f t="shared" si="13"/>
        <v>Available</v>
      </c>
      <c r="L213" s="2" t="s">
        <v>10</v>
      </c>
      <c r="M213" s="3">
        <v>45362</v>
      </c>
      <c r="N213" s="3" t="str">
        <f t="shared" si="14"/>
        <v>March</v>
      </c>
      <c r="O213" s="2" t="s">
        <v>6</v>
      </c>
      <c r="P213" t="str">
        <f t="shared" si="15"/>
        <v>OK</v>
      </c>
    </row>
    <row r="214" spans="1:16" x14ac:dyDescent="0.3">
      <c r="A214" s="2">
        <f t="shared" si="12"/>
        <v>213</v>
      </c>
      <c r="B214" s="2" t="s">
        <v>29</v>
      </c>
      <c r="C214" s="2" t="s">
        <v>7</v>
      </c>
      <c r="D214" s="1">
        <v>0.33900000000000002</v>
      </c>
      <c r="E214" s="1" t="str" cm="1">
        <f t="array" ref="E214">_xlfn.IFS(
D214&lt;20,"Light",
D214&lt;50,"Medium",
D214&lt;100,"Heavy",
D214&gt;=100,"Very Heavy")</f>
        <v>Light</v>
      </c>
      <c r="F214" s="2">
        <v>19</v>
      </c>
      <c r="G214" s="2" t="str" cm="1">
        <f t="array" ref="G214">_xlfn.IFS(
F214&lt;50,"Small",
F214&lt;100,"Medium",
F214&lt;150,"Large",
F214&gt;=150,"Very Large"
)</f>
        <v>Small</v>
      </c>
      <c r="H214" s="2" t="s">
        <v>33</v>
      </c>
      <c r="I214" s="2">
        <v>48.503751999999999</v>
      </c>
      <c r="J214" s="2">
        <v>20.558664</v>
      </c>
      <c r="K214" s="2" t="str">
        <f t="shared" si="13"/>
        <v>Available</v>
      </c>
      <c r="L214" s="2" t="s">
        <v>10</v>
      </c>
      <c r="M214" s="3">
        <v>45362</v>
      </c>
      <c r="N214" s="3" t="str">
        <f t="shared" si="14"/>
        <v>March</v>
      </c>
      <c r="O214" s="2" t="s">
        <v>6</v>
      </c>
      <c r="P214" t="str">
        <f t="shared" si="15"/>
        <v>OK</v>
      </c>
    </row>
    <row r="215" spans="1:16" x14ac:dyDescent="0.3">
      <c r="A215" s="2">
        <f t="shared" si="12"/>
        <v>214</v>
      </c>
      <c r="B215" s="2" t="s">
        <v>29</v>
      </c>
      <c r="C215" s="2" t="s">
        <v>4</v>
      </c>
      <c r="D215" s="1">
        <v>0.30399999999999999</v>
      </c>
      <c r="E215" s="1" t="str" cm="1">
        <f t="array" ref="E215">_xlfn.IFS(
D215&lt;20,"Light",
D215&lt;50,"Medium",
D215&lt;100,"Heavy",
D215&gt;=100,"Very Heavy")</f>
        <v>Light</v>
      </c>
      <c r="F215" s="2">
        <v>22</v>
      </c>
      <c r="G215" s="2" t="str" cm="1">
        <f t="array" ref="G215">_xlfn.IFS(
F215&lt;50,"Small",
F215&lt;100,"Medium",
F215&lt;150,"Large",
F215&gt;=150,"Very Large"
)</f>
        <v>Small</v>
      </c>
      <c r="H215" s="2" t="s">
        <v>10</v>
      </c>
      <c r="I215" s="2">
        <v>52.241092999999999</v>
      </c>
      <c r="J215" s="2">
        <v>21.055413000000001</v>
      </c>
      <c r="K215" s="2" t="str">
        <f t="shared" si="13"/>
        <v>Available</v>
      </c>
      <c r="L215" s="2" t="s">
        <v>10</v>
      </c>
      <c r="M215" s="3">
        <v>45362</v>
      </c>
      <c r="N215" s="3" t="str">
        <f t="shared" si="14"/>
        <v>March</v>
      </c>
      <c r="O215" s="2" t="s">
        <v>6</v>
      </c>
      <c r="P215" t="str">
        <f t="shared" si="15"/>
        <v>OK</v>
      </c>
    </row>
    <row r="216" spans="1:16" x14ac:dyDescent="0.3">
      <c r="A216" s="2">
        <f t="shared" si="12"/>
        <v>215</v>
      </c>
      <c r="B216" s="2" t="s">
        <v>29</v>
      </c>
      <c r="C216" s="2" t="s">
        <v>15</v>
      </c>
      <c r="D216" s="1">
        <v>0.27100000000000002</v>
      </c>
      <c r="E216" s="1" t="str" cm="1">
        <f t="array" ref="E216">_xlfn.IFS(
D216&lt;20,"Light",
D216&lt;50,"Medium",
D216&lt;100,"Heavy",
D216&gt;=100,"Very Heavy")</f>
        <v>Light</v>
      </c>
      <c r="F216" s="2">
        <v>18</v>
      </c>
      <c r="G216" s="2" t="str" cm="1">
        <f t="array" ref="G216">_xlfn.IFS(
F216&lt;50,"Small",
F216&lt;100,"Medium",
F216&lt;150,"Large",
F216&gt;=150,"Very Large"
)</f>
        <v>Small</v>
      </c>
      <c r="H216" s="2" t="s">
        <v>32</v>
      </c>
      <c r="I216" s="2">
        <v>49.937390999999998</v>
      </c>
      <c r="J216" s="2">
        <v>14.179565999999999</v>
      </c>
      <c r="K216" s="2" t="str">
        <f t="shared" si="13"/>
        <v>Available</v>
      </c>
      <c r="L216" s="2" t="s">
        <v>10</v>
      </c>
      <c r="M216" s="3">
        <v>45362</v>
      </c>
      <c r="N216" s="3" t="str">
        <f t="shared" si="14"/>
        <v>March</v>
      </c>
      <c r="O216" s="2" t="s">
        <v>14</v>
      </c>
      <c r="P216" t="str">
        <f t="shared" si="15"/>
        <v>OK</v>
      </c>
    </row>
    <row r="217" spans="1:16" x14ac:dyDescent="0.3">
      <c r="A217" s="2">
        <f t="shared" si="12"/>
        <v>216</v>
      </c>
      <c r="B217" s="2" t="s">
        <v>27</v>
      </c>
      <c r="C217" s="2" t="s">
        <v>4</v>
      </c>
      <c r="D217" s="1">
        <v>315</v>
      </c>
      <c r="E217" s="1" t="str" cm="1">
        <f t="array" ref="E217">_xlfn.IFS(
D217&lt;20,"Light",
D217&lt;50,"Medium",
D217&lt;100,"Heavy",
D217&gt;=100,"Very Heavy")</f>
        <v>Very Heavy</v>
      </c>
      <c r="F217" s="2">
        <v>175</v>
      </c>
      <c r="G217" s="2" t="str" cm="1">
        <f t="array" ref="G217">_xlfn.IFS(
F217&lt;50,"Small",
F217&lt;100,"Medium",
F217&lt;150,"Large",
F217&gt;=150,"Very Large"
)</f>
        <v>Very Large</v>
      </c>
      <c r="H217" s="2" t="s">
        <v>32</v>
      </c>
      <c r="I217" s="2">
        <v>52.829512000000001</v>
      </c>
      <c r="J217" s="2">
        <v>23.811681</v>
      </c>
      <c r="K217" s="2" t="str">
        <f t="shared" si="13"/>
        <v>Available</v>
      </c>
      <c r="L217" s="2" t="s">
        <v>10</v>
      </c>
      <c r="M217" s="3">
        <v>45363</v>
      </c>
      <c r="N217" s="3" t="str">
        <f t="shared" si="14"/>
        <v>March</v>
      </c>
      <c r="O217" s="2" t="s">
        <v>6</v>
      </c>
      <c r="P217" t="str">
        <f t="shared" si="15"/>
        <v>OK</v>
      </c>
    </row>
    <row r="218" spans="1:16" x14ac:dyDescent="0.3">
      <c r="A218" s="2">
        <f t="shared" si="12"/>
        <v>217</v>
      </c>
      <c r="B218" s="2" t="s">
        <v>29</v>
      </c>
      <c r="C218" s="2" t="s">
        <v>4</v>
      </c>
      <c r="D218" s="1">
        <v>0.316</v>
      </c>
      <c r="E218" s="1" t="str" cm="1">
        <f t="array" ref="E218">_xlfn.IFS(
D218&lt;20,"Light",
D218&lt;50,"Medium",
D218&lt;100,"Heavy",
D218&gt;=100,"Very Heavy")</f>
        <v>Light</v>
      </c>
      <c r="F218" s="2">
        <v>24</v>
      </c>
      <c r="G218" s="2" t="str" cm="1">
        <f t="array" ref="G218">_xlfn.IFS(
F218&lt;50,"Small",
F218&lt;100,"Medium",
F218&lt;150,"Large",
F218&gt;=150,"Very Large"
)</f>
        <v>Small</v>
      </c>
      <c r="H218" s="2" t="s">
        <v>32</v>
      </c>
      <c r="I218" s="2">
        <v>52.240707</v>
      </c>
      <c r="J218" s="2">
        <v>21.057051000000001</v>
      </c>
      <c r="K218" s="2" t="str">
        <f t="shared" si="13"/>
        <v>Available</v>
      </c>
      <c r="L218" s="2" t="s">
        <v>10</v>
      </c>
      <c r="M218" s="3">
        <v>45363</v>
      </c>
      <c r="N218" s="3" t="str">
        <f t="shared" si="14"/>
        <v>March</v>
      </c>
      <c r="O218" s="2" t="s">
        <v>6</v>
      </c>
      <c r="P218" t="str">
        <f t="shared" si="15"/>
        <v>OK</v>
      </c>
    </row>
    <row r="219" spans="1:16" x14ac:dyDescent="0.3">
      <c r="A219" s="2">
        <f t="shared" si="12"/>
        <v>218</v>
      </c>
      <c r="B219" s="2" t="s">
        <v>29</v>
      </c>
      <c r="C219" s="2" t="s">
        <v>7</v>
      </c>
      <c r="D219" s="1">
        <v>0.297366504854368</v>
      </c>
      <c r="E219" s="1" t="str" cm="1">
        <f t="array" ref="E219">_xlfn.IFS(
D219&lt;20,"Light",
D219&lt;50,"Medium",
D219&lt;100,"Heavy",
D219&gt;=100,"Very Heavy")</f>
        <v>Light</v>
      </c>
      <c r="F219" s="2">
        <v>20.674418604651098</v>
      </c>
      <c r="G219" s="2" t="str" cm="1">
        <f t="array" ref="G219">_xlfn.IFS(
F219&lt;50,"Small",
F219&lt;100,"Medium",
F219&lt;150,"Large",
F219&gt;=150,"Very Large"
)</f>
        <v>Small</v>
      </c>
      <c r="H219" s="2" t="s">
        <v>33</v>
      </c>
      <c r="I219" s="2">
        <v>47.508454</v>
      </c>
      <c r="J219" s="2">
        <v>18.949342999999999</v>
      </c>
      <c r="K219" s="2" t="str">
        <f t="shared" si="13"/>
        <v>Available</v>
      </c>
      <c r="L219" s="2" t="s">
        <v>10</v>
      </c>
      <c r="M219" s="3">
        <v>45363</v>
      </c>
      <c r="N219" s="3" t="str">
        <f t="shared" si="14"/>
        <v>March</v>
      </c>
      <c r="O219" s="2" t="s">
        <v>6</v>
      </c>
      <c r="P219" t="str">
        <f t="shared" si="15"/>
        <v>OK</v>
      </c>
    </row>
    <row r="220" spans="1:16" x14ac:dyDescent="0.3">
      <c r="A220" s="2">
        <f t="shared" si="12"/>
        <v>219</v>
      </c>
      <c r="B220" s="2" t="s">
        <v>30</v>
      </c>
      <c r="C220" s="2" t="s">
        <v>15</v>
      </c>
      <c r="D220" s="1">
        <v>0.6</v>
      </c>
      <c r="E220" s="1" t="str" cm="1">
        <f t="array" ref="E220">_xlfn.IFS(
D220&lt;20,"Light",
D220&lt;50,"Medium",
D220&lt;100,"Heavy",
D220&gt;=100,"Very Heavy")</f>
        <v>Light</v>
      </c>
      <c r="F220" s="2">
        <v>20</v>
      </c>
      <c r="G220" s="2" t="str" cm="1">
        <f t="array" ref="G220">_xlfn.IFS(
F220&lt;50,"Small",
F220&lt;100,"Medium",
F220&lt;150,"Large",
F220&gt;=150,"Very Large"
)</f>
        <v>Small</v>
      </c>
      <c r="H220" s="2" t="s">
        <v>32</v>
      </c>
      <c r="I220" s="2">
        <v>49.938169000000002</v>
      </c>
      <c r="J220" s="2">
        <v>14.178703000000001</v>
      </c>
      <c r="K220" s="2" t="str">
        <f t="shared" si="13"/>
        <v>Available</v>
      </c>
      <c r="L220" s="2" t="s">
        <v>10</v>
      </c>
      <c r="M220" s="3">
        <v>45363</v>
      </c>
      <c r="N220" s="3" t="str">
        <f t="shared" si="14"/>
        <v>March</v>
      </c>
      <c r="O220" s="2" t="s">
        <v>14</v>
      </c>
      <c r="P220" t="str">
        <f t="shared" si="15"/>
        <v>OK</v>
      </c>
    </row>
    <row r="221" spans="1:16" x14ac:dyDescent="0.3">
      <c r="A221" s="2">
        <f t="shared" si="12"/>
        <v>220</v>
      </c>
      <c r="B221" s="2" t="s">
        <v>30</v>
      </c>
      <c r="C221" s="2" t="s">
        <v>15</v>
      </c>
      <c r="D221" s="1">
        <v>0.4</v>
      </c>
      <c r="E221" s="1" t="str" cm="1">
        <f t="array" ref="E221">_xlfn.IFS(
D221&lt;20,"Light",
D221&lt;50,"Medium",
D221&lt;100,"Heavy",
D221&gt;=100,"Very Heavy")</f>
        <v>Light</v>
      </c>
      <c r="F221" s="2">
        <v>17</v>
      </c>
      <c r="G221" s="2" t="str" cm="1">
        <f t="array" ref="G221">_xlfn.IFS(
F221&lt;50,"Small",
F221&lt;100,"Medium",
F221&lt;150,"Large",
F221&gt;=150,"Very Large"
)</f>
        <v>Small</v>
      </c>
      <c r="H221" s="2" t="s">
        <v>32</v>
      </c>
      <c r="I221" s="2">
        <v>49.938527000000001</v>
      </c>
      <c r="J221" s="2">
        <v>14.179315000000001</v>
      </c>
      <c r="K221" s="2" t="str">
        <f t="shared" si="13"/>
        <v>Available</v>
      </c>
      <c r="L221" s="2" t="s">
        <v>10</v>
      </c>
      <c r="M221" s="3">
        <v>45363</v>
      </c>
      <c r="N221" s="3" t="str">
        <f t="shared" si="14"/>
        <v>March</v>
      </c>
      <c r="O221" s="2" t="s">
        <v>14</v>
      </c>
      <c r="P221" t="str">
        <f t="shared" si="15"/>
        <v>OK</v>
      </c>
    </row>
    <row r="222" spans="1:16" x14ac:dyDescent="0.3">
      <c r="A222" s="2">
        <f t="shared" si="12"/>
        <v>221</v>
      </c>
      <c r="B222" s="2" t="s">
        <v>29</v>
      </c>
      <c r="C222" s="2" t="s">
        <v>15</v>
      </c>
      <c r="D222" s="1">
        <v>0.32400000000000001</v>
      </c>
      <c r="E222" s="1" t="str" cm="1">
        <f t="array" ref="E222">_xlfn.IFS(
D222&lt;20,"Light",
D222&lt;50,"Medium",
D222&lt;100,"Heavy",
D222&gt;=100,"Very Heavy")</f>
        <v>Light</v>
      </c>
      <c r="F222" s="2">
        <v>23</v>
      </c>
      <c r="G222" s="2" t="str" cm="1">
        <f t="array" ref="G222">_xlfn.IFS(
F222&lt;50,"Small",
F222&lt;100,"Medium",
F222&lt;150,"Large",
F222&gt;=150,"Very Large"
)</f>
        <v>Small</v>
      </c>
      <c r="H222" s="2" t="s">
        <v>33</v>
      </c>
      <c r="I222" s="2">
        <v>49.937724000000003</v>
      </c>
      <c r="J222" s="2">
        <v>14.182072</v>
      </c>
      <c r="K222" s="2" t="str">
        <f t="shared" si="13"/>
        <v>Available</v>
      </c>
      <c r="L222" s="2" t="s">
        <v>10</v>
      </c>
      <c r="M222" s="3">
        <v>45363</v>
      </c>
      <c r="N222" s="3" t="str">
        <f t="shared" si="14"/>
        <v>March</v>
      </c>
      <c r="O222" s="2" t="s">
        <v>14</v>
      </c>
      <c r="P222" t="str">
        <f t="shared" si="15"/>
        <v>OK</v>
      </c>
    </row>
    <row r="223" spans="1:16" x14ac:dyDescent="0.3">
      <c r="A223" s="2">
        <f t="shared" si="12"/>
        <v>222</v>
      </c>
      <c r="B223" s="2" t="s">
        <v>30</v>
      </c>
      <c r="C223" s="2" t="s">
        <v>7</v>
      </c>
      <c r="D223" s="1">
        <v>0.6</v>
      </c>
      <c r="E223" s="1" t="str" cm="1">
        <f t="array" ref="E223">_xlfn.IFS(
D223&lt;20,"Light",
D223&lt;50,"Medium",
D223&lt;100,"Heavy",
D223&gt;=100,"Very Heavy")</f>
        <v>Light</v>
      </c>
      <c r="F223" s="2">
        <v>14</v>
      </c>
      <c r="G223" s="2" t="str" cm="1">
        <f t="array" ref="G223">_xlfn.IFS(
F223&lt;50,"Small",
F223&lt;100,"Medium",
F223&lt;150,"Large",
F223&gt;=150,"Very Large"
)</f>
        <v>Small</v>
      </c>
      <c r="H223" s="2" t="s">
        <v>33</v>
      </c>
      <c r="I223" s="2">
        <v>48.506262</v>
      </c>
      <c r="J223" s="2">
        <v>20.547343000000001</v>
      </c>
      <c r="K223" s="2" t="str">
        <f t="shared" si="13"/>
        <v>Available</v>
      </c>
      <c r="L223" s="2" t="s">
        <v>10</v>
      </c>
      <c r="M223" s="3">
        <v>45364</v>
      </c>
      <c r="N223" s="3" t="str">
        <f t="shared" si="14"/>
        <v>March</v>
      </c>
      <c r="O223" s="2" t="s">
        <v>6</v>
      </c>
      <c r="P223" t="str">
        <f t="shared" si="15"/>
        <v>OK</v>
      </c>
    </row>
    <row r="224" spans="1:16" x14ac:dyDescent="0.3">
      <c r="A224" s="2">
        <f t="shared" si="12"/>
        <v>223</v>
      </c>
      <c r="B224" s="2" t="s">
        <v>30</v>
      </c>
      <c r="C224" s="2" t="s">
        <v>4</v>
      </c>
      <c r="D224" s="1">
        <v>0.8</v>
      </c>
      <c r="E224" s="1" t="str" cm="1">
        <f t="array" ref="E224">_xlfn.IFS(
D224&lt;20,"Light",
D224&lt;50,"Medium",
D224&lt;100,"Heavy",
D224&gt;=100,"Very Heavy")</f>
        <v>Light</v>
      </c>
      <c r="F224" s="2">
        <v>24</v>
      </c>
      <c r="G224" s="2" t="str" cm="1">
        <f t="array" ref="G224">_xlfn.IFS(
F224&lt;50,"Small",
F224&lt;100,"Medium",
F224&lt;150,"Large",
F224&gt;=150,"Very Large"
)</f>
        <v>Small</v>
      </c>
      <c r="H224" s="2" t="s">
        <v>32</v>
      </c>
      <c r="I224" s="2">
        <v>52.214734</v>
      </c>
      <c r="J224" s="2">
        <v>21.031915000000001</v>
      </c>
      <c r="K224" s="2" t="str">
        <f t="shared" si="13"/>
        <v>Available</v>
      </c>
      <c r="L224" s="2" t="s">
        <v>10</v>
      </c>
      <c r="M224" s="3">
        <v>45364</v>
      </c>
      <c r="N224" s="3" t="str">
        <f t="shared" si="14"/>
        <v>March</v>
      </c>
      <c r="O224" s="2" t="s">
        <v>6</v>
      </c>
      <c r="P224" t="str">
        <f t="shared" si="15"/>
        <v>OK</v>
      </c>
    </row>
    <row r="225" spans="1:16" x14ac:dyDescent="0.3">
      <c r="A225" s="2">
        <f t="shared" si="12"/>
        <v>224</v>
      </c>
      <c r="B225" s="2" t="s">
        <v>28</v>
      </c>
      <c r="C225" s="2" t="s">
        <v>7</v>
      </c>
      <c r="D225" s="1">
        <v>20</v>
      </c>
      <c r="E225" s="1" t="str" cm="1">
        <f t="array" ref="E225">_xlfn.IFS(
D225&lt;20,"Light",
D225&lt;50,"Medium",
D225&lt;100,"Heavy",
D225&gt;=100,"Very Heavy")</f>
        <v>Medium</v>
      </c>
      <c r="F225" s="2">
        <v>86</v>
      </c>
      <c r="G225" s="2" t="str" cm="1">
        <f t="array" ref="G225">_xlfn.IFS(
F225&lt;50,"Small",
F225&lt;100,"Medium",
F225&lt;150,"Large",
F225&gt;=150,"Very Large"
)</f>
        <v>Medium</v>
      </c>
      <c r="H225" s="2" t="s">
        <v>32</v>
      </c>
      <c r="I225" s="2">
        <v>48.504716999999999</v>
      </c>
      <c r="J225" s="2">
        <v>20.558726</v>
      </c>
      <c r="K225" s="2" t="str">
        <f t="shared" si="13"/>
        <v>Available</v>
      </c>
      <c r="L225" s="2" t="s">
        <v>10</v>
      </c>
      <c r="M225" s="3">
        <v>45364</v>
      </c>
      <c r="N225" s="3" t="str">
        <f t="shared" si="14"/>
        <v>March</v>
      </c>
      <c r="O225" s="2" t="s">
        <v>6</v>
      </c>
      <c r="P225" t="str">
        <f t="shared" si="15"/>
        <v>OK</v>
      </c>
    </row>
    <row r="226" spans="1:16" x14ac:dyDescent="0.3">
      <c r="A226" s="2">
        <f t="shared" si="12"/>
        <v>225</v>
      </c>
      <c r="B226" s="2" t="s">
        <v>29</v>
      </c>
      <c r="C226" s="2" t="s">
        <v>4</v>
      </c>
      <c r="D226" s="1">
        <v>0.36</v>
      </c>
      <c r="E226" s="1" t="str" cm="1">
        <f t="array" ref="E226">_xlfn.IFS(
D226&lt;20,"Light",
D226&lt;50,"Medium",
D226&lt;100,"Heavy",
D226&gt;=100,"Very Heavy")</f>
        <v>Light</v>
      </c>
      <c r="F226" s="2">
        <v>23</v>
      </c>
      <c r="G226" s="2" t="str" cm="1">
        <f t="array" ref="G226">_xlfn.IFS(
F226&lt;50,"Small",
F226&lt;100,"Medium",
F226&lt;150,"Large",
F226&gt;=150,"Very Large"
)</f>
        <v>Small</v>
      </c>
      <c r="H226" s="2" t="s">
        <v>33</v>
      </c>
      <c r="I226" s="2">
        <v>52.241509999999998</v>
      </c>
      <c r="J226" s="2">
        <v>21.052575000000001</v>
      </c>
      <c r="K226" s="2" t="str">
        <f t="shared" si="13"/>
        <v>Available</v>
      </c>
      <c r="L226" s="2" t="s">
        <v>8</v>
      </c>
      <c r="M226" s="3">
        <v>45364</v>
      </c>
      <c r="N226" s="3" t="str">
        <f t="shared" si="14"/>
        <v>March</v>
      </c>
      <c r="O226" s="2" t="s">
        <v>6</v>
      </c>
      <c r="P226" t="str">
        <f t="shared" si="15"/>
        <v>OK</v>
      </c>
    </row>
    <row r="227" spans="1:16" x14ac:dyDescent="0.3">
      <c r="A227" s="2">
        <f t="shared" si="12"/>
        <v>226</v>
      </c>
      <c r="B227" s="2" t="s">
        <v>29</v>
      </c>
      <c r="C227" s="2" t="s">
        <v>7</v>
      </c>
      <c r="D227" s="1">
        <v>0.26</v>
      </c>
      <c r="E227" s="1" t="str" cm="1">
        <f t="array" ref="E227">_xlfn.IFS(
D227&lt;20,"Light",
D227&lt;50,"Medium",
D227&lt;100,"Heavy",
D227&gt;=100,"Very Heavy")</f>
        <v>Light</v>
      </c>
      <c r="F227" s="2">
        <v>18</v>
      </c>
      <c r="G227" s="2" t="str" cm="1">
        <f t="array" ref="G227">_xlfn.IFS(
F227&lt;50,"Small",
F227&lt;100,"Medium",
F227&lt;150,"Large",
F227&gt;=150,"Very Large"
)</f>
        <v>Small</v>
      </c>
      <c r="H227" s="2" t="s">
        <v>32</v>
      </c>
      <c r="I227" s="2">
        <v>47.505768000000003</v>
      </c>
      <c r="J227" s="2">
        <v>18.943674000000001</v>
      </c>
      <c r="K227" s="2" t="str">
        <f t="shared" si="13"/>
        <v>Available</v>
      </c>
      <c r="L227" s="2" t="s">
        <v>10</v>
      </c>
      <c r="M227" s="3">
        <v>45364</v>
      </c>
      <c r="N227" s="3" t="str">
        <f t="shared" si="14"/>
        <v>March</v>
      </c>
      <c r="O227" s="2" t="s">
        <v>6</v>
      </c>
      <c r="P227" t="str">
        <f t="shared" si="15"/>
        <v>OK</v>
      </c>
    </row>
    <row r="228" spans="1:16" x14ac:dyDescent="0.3">
      <c r="A228" s="2">
        <f t="shared" si="12"/>
        <v>227</v>
      </c>
      <c r="B228" s="2" t="s">
        <v>29</v>
      </c>
      <c r="C228" s="2" t="s">
        <v>11</v>
      </c>
      <c r="D228" s="1">
        <v>0.33500000000000002</v>
      </c>
      <c r="E228" s="1" t="str" cm="1">
        <f t="array" ref="E228">_xlfn.IFS(
D228&lt;20,"Light",
D228&lt;50,"Medium",
D228&lt;100,"Heavy",
D228&gt;=100,"Very Heavy")</f>
        <v>Light</v>
      </c>
      <c r="F228" s="2">
        <v>18</v>
      </c>
      <c r="G228" s="2" t="str" cm="1">
        <f t="array" ref="G228">_xlfn.IFS(
F228&lt;50,"Small",
F228&lt;100,"Medium",
F228&lt;150,"Large",
F228&gt;=150,"Very Large"
)</f>
        <v>Small</v>
      </c>
      <c r="H228" s="2" t="s">
        <v>32</v>
      </c>
      <c r="I228" s="2">
        <v>48.161549000000001</v>
      </c>
      <c r="J228" s="2">
        <v>11.493041</v>
      </c>
      <c r="K228" s="2" t="str">
        <f t="shared" si="13"/>
        <v>Available</v>
      </c>
      <c r="L228" s="2" t="s">
        <v>10</v>
      </c>
      <c r="M228" s="3">
        <v>45364</v>
      </c>
      <c r="N228" s="3" t="str">
        <f t="shared" si="14"/>
        <v>March</v>
      </c>
      <c r="O228" s="2" t="s">
        <v>12</v>
      </c>
      <c r="P228" t="str">
        <f t="shared" si="15"/>
        <v>OK</v>
      </c>
    </row>
    <row r="229" spans="1:16" x14ac:dyDescent="0.3">
      <c r="A229" s="2">
        <f t="shared" si="12"/>
        <v>228</v>
      </c>
      <c r="B229" s="2" t="s">
        <v>30</v>
      </c>
      <c r="C229" s="2" t="s">
        <v>15</v>
      </c>
      <c r="D229" s="1">
        <v>0.6</v>
      </c>
      <c r="E229" s="1" t="str" cm="1">
        <f t="array" ref="E229">_xlfn.IFS(
D229&lt;20,"Light",
D229&lt;50,"Medium",
D229&lt;100,"Heavy",
D229&gt;=100,"Very Heavy")</f>
        <v>Light</v>
      </c>
      <c r="F229" s="2">
        <v>15</v>
      </c>
      <c r="G229" s="2" t="str" cm="1">
        <f t="array" ref="G229">_xlfn.IFS(
F229&lt;50,"Small",
F229&lt;100,"Medium",
F229&lt;150,"Large",
F229&gt;=150,"Very Large"
)</f>
        <v>Small</v>
      </c>
      <c r="H229" s="2" t="s">
        <v>33</v>
      </c>
      <c r="I229" s="2">
        <v>49.939297000000003</v>
      </c>
      <c r="J229" s="2">
        <v>14.181452999999999</v>
      </c>
      <c r="K229" s="2" t="str">
        <f t="shared" si="13"/>
        <v>Available</v>
      </c>
      <c r="L229" s="2" t="s">
        <v>10</v>
      </c>
      <c r="M229" s="3">
        <v>45364</v>
      </c>
      <c r="N229" s="3" t="str">
        <f t="shared" si="14"/>
        <v>March</v>
      </c>
      <c r="O229" s="2" t="s">
        <v>14</v>
      </c>
      <c r="P229" t="str">
        <f t="shared" si="15"/>
        <v>OK</v>
      </c>
    </row>
    <row r="230" spans="1:16" x14ac:dyDescent="0.3">
      <c r="A230" s="2">
        <f t="shared" si="12"/>
        <v>229</v>
      </c>
      <c r="B230" s="2" t="s">
        <v>29</v>
      </c>
      <c r="C230" s="2" t="s">
        <v>13</v>
      </c>
      <c r="D230" s="1">
        <v>0.28799999999999998</v>
      </c>
      <c r="E230" s="1" t="str" cm="1">
        <f t="array" ref="E230">_xlfn.IFS(
D230&lt;20,"Light",
D230&lt;50,"Medium",
D230&lt;100,"Heavy",
D230&gt;=100,"Very Heavy")</f>
        <v>Light</v>
      </c>
      <c r="F230" s="2">
        <v>18</v>
      </c>
      <c r="G230" s="2" t="str" cm="1">
        <f t="array" ref="G230">_xlfn.IFS(
F230&lt;50,"Small",
F230&lt;100,"Medium",
F230&lt;150,"Large",
F230&gt;=150,"Very Large"
)</f>
        <v>Small</v>
      </c>
      <c r="H230" s="2" t="s">
        <v>33</v>
      </c>
      <c r="I230" s="2">
        <v>48.185952999999998</v>
      </c>
      <c r="J230" s="2">
        <v>17.083929999999999</v>
      </c>
      <c r="K230" s="2" t="str">
        <f t="shared" si="13"/>
        <v>Available</v>
      </c>
      <c r="L230" s="2" t="s">
        <v>10</v>
      </c>
      <c r="M230" s="3">
        <v>45364</v>
      </c>
      <c r="N230" s="3" t="str">
        <f t="shared" si="14"/>
        <v>March</v>
      </c>
      <c r="O230" s="2" t="s">
        <v>14</v>
      </c>
      <c r="P230" t="str">
        <f t="shared" si="15"/>
        <v>OK</v>
      </c>
    </row>
    <row r="231" spans="1:16" x14ac:dyDescent="0.3">
      <c r="A231" s="2">
        <f t="shared" si="12"/>
        <v>230</v>
      </c>
      <c r="B231" s="2" t="s">
        <v>27</v>
      </c>
      <c r="C231" s="2" t="s">
        <v>4</v>
      </c>
      <c r="D231" s="1">
        <v>610</v>
      </c>
      <c r="E231" s="1" t="str" cm="1">
        <f t="array" ref="E231">_xlfn.IFS(
D231&lt;20,"Light",
D231&lt;50,"Medium",
D231&lt;100,"Heavy",
D231&gt;=100,"Very Heavy")</f>
        <v>Very Heavy</v>
      </c>
      <c r="F231" s="2">
        <v>258</v>
      </c>
      <c r="G231" s="2" t="str" cm="1">
        <f t="array" ref="G231">_xlfn.IFS(
F231&lt;50,"Small",
F231&lt;100,"Medium",
F231&lt;150,"Large",
F231&gt;=150,"Very Large"
)</f>
        <v>Very Large</v>
      </c>
      <c r="H231" s="2" t="s">
        <v>33</v>
      </c>
      <c r="I231" s="2">
        <v>52.821134999999998</v>
      </c>
      <c r="J231" s="2">
        <v>23.809947000000001</v>
      </c>
      <c r="K231" s="2" t="str">
        <f t="shared" si="13"/>
        <v>Available</v>
      </c>
      <c r="L231" s="2" t="s">
        <v>10</v>
      </c>
      <c r="M231" s="3">
        <v>45365</v>
      </c>
      <c r="N231" s="3" t="str">
        <f t="shared" si="14"/>
        <v>March</v>
      </c>
      <c r="O231" s="2" t="s">
        <v>6</v>
      </c>
      <c r="P231" t="str">
        <f t="shared" si="15"/>
        <v>OK</v>
      </c>
    </row>
    <row r="232" spans="1:16" x14ac:dyDescent="0.3">
      <c r="A232" s="2">
        <f t="shared" si="12"/>
        <v>231</v>
      </c>
      <c r="B232" s="2" t="s">
        <v>30</v>
      </c>
      <c r="C232" s="2" t="s">
        <v>7</v>
      </c>
      <c r="D232" s="1">
        <v>0.7</v>
      </c>
      <c r="E232" s="1" t="str" cm="1">
        <f t="array" ref="E232">_xlfn.IFS(
D232&lt;20,"Light",
D232&lt;50,"Medium",
D232&lt;100,"Heavy",
D232&gt;=100,"Very Heavy")</f>
        <v>Light</v>
      </c>
      <c r="F232" s="2">
        <v>21</v>
      </c>
      <c r="G232" s="2" t="str" cm="1">
        <f t="array" ref="G232">_xlfn.IFS(
F232&lt;50,"Small",
F232&lt;100,"Medium",
F232&lt;150,"Large",
F232&gt;=150,"Very Large"
)</f>
        <v>Small</v>
      </c>
      <c r="H232" s="2" t="s">
        <v>33</v>
      </c>
      <c r="I232" s="2">
        <v>48.509199000000002</v>
      </c>
      <c r="J232" s="2">
        <v>20.552447000000001</v>
      </c>
      <c r="K232" s="2" t="str">
        <f t="shared" si="13"/>
        <v>Available</v>
      </c>
      <c r="L232" s="2" t="s">
        <v>10</v>
      </c>
      <c r="M232" s="3">
        <v>45365</v>
      </c>
      <c r="N232" s="3" t="str">
        <f t="shared" si="14"/>
        <v>March</v>
      </c>
      <c r="O232" s="2" t="s">
        <v>6</v>
      </c>
      <c r="P232" t="str">
        <f t="shared" si="15"/>
        <v>OK</v>
      </c>
    </row>
    <row r="233" spans="1:16" x14ac:dyDescent="0.3">
      <c r="A233" s="2">
        <f t="shared" si="12"/>
        <v>232</v>
      </c>
      <c r="B233" s="2" t="s">
        <v>30</v>
      </c>
      <c r="C233" s="2" t="s">
        <v>4</v>
      </c>
      <c r="D233" s="1">
        <v>1</v>
      </c>
      <c r="E233" s="1" t="str" cm="1">
        <f t="array" ref="E233">_xlfn.IFS(
D233&lt;20,"Light",
D233&lt;50,"Medium",
D233&lt;100,"Heavy",
D233&gt;=100,"Very Heavy")</f>
        <v>Light</v>
      </c>
      <c r="F233" s="2">
        <v>21</v>
      </c>
      <c r="G233" s="2" t="str" cm="1">
        <f t="array" ref="G233">_xlfn.IFS(
F233&lt;50,"Small",
F233&lt;100,"Medium",
F233&lt;150,"Large",
F233&gt;=150,"Very Large"
)</f>
        <v>Small</v>
      </c>
      <c r="H233" s="2" t="s">
        <v>33</v>
      </c>
      <c r="I233" s="2">
        <v>52.213985000000001</v>
      </c>
      <c r="J233" s="2">
        <v>21.030840999999999</v>
      </c>
      <c r="K233" s="2" t="str">
        <f t="shared" si="13"/>
        <v>Available</v>
      </c>
      <c r="L233" s="2" t="s">
        <v>10</v>
      </c>
      <c r="M233" s="3">
        <v>45365</v>
      </c>
      <c r="N233" s="3" t="str">
        <f t="shared" si="14"/>
        <v>March</v>
      </c>
      <c r="O233" s="2" t="s">
        <v>6</v>
      </c>
      <c r="P233" t="str">
        <f t="shared" si="15"/>
        <v>OK</v>
      </c>
    </row>
    <row r="234" spans="1:16" x14ac:dyDescent="0.3">
      <c r="A234" s="2">
        <f t="shared" si="12"/>
        <v>233</v>
      </c>
      <c r="B234" s="2" t="s">
        <v>30</v>
      </c>
      <c r="C234" s="2" t="s">
        <v>4</v>
      </c>
      <c r="D234" s="1">
        <v>0.8</v>
      </c>
      <c r="E234" s="1" t="str" cm="1">
        <f t="array" ref="E234">_xlfn.IFS(
D234&lt;20,"Light",
D234&lt;50,"Medium",
D234&lt;100,"Heavy",
D234&gt;=100,"Very Heavy")</f>
        <v>Light</v>
      </c>
      <c r="F234" s="2">
        <v>15</v>
      </c>
      <c r="G234" s="2" t="str" cm="1">
        <f t="array" ref="G234">_xlfn.IFS(
F234&lt;50,"Small",
F234&lt;100,"Medium",
F234&lt;150,"Large",
F234&gt;=150,"Very Large"
)</f>
        <v>Small</v>
      </c>
      <c r="H234" s="2" t="s">
        <v>33</v>
      </c>
      <c r="I234" s="2">
        <v>52.213876999999997</v>
      </c>
      <c r="J234" s="2">
        <v>21.030861000000002</v>
      </c>
      <c r="K234" s="2" t="str">
        <f t="shared" si="13"/>
        <v>Available</v>
      </c>
      <c r="L234" s="2" t="s">
        <v>10</v>
      </c>
      <c r="M234" s="3">
        <v>45365</v>
      </c>
      <c r="N234" s="3" t="str">
        <f t="shared" si="14"/>
        <v>March</v>
      </c>
      <c r="O234" s="2" t="s">
        <v>6</v>
      </c>
      <c r="P234" t="str">
        <f t="shared" si="15"/>
        <v>OK</v>
      </c>
    </row>
    <row r="235" spans="1:16" x14ac:dyDescent="0.3">
      <c r="A235" s="2">
        <f t="shared" si="12"/>
        <v>234</v>
      </c>
      <c r="B235" s="2" t="s">
        <v>29</v>
      </c>
      <c r="C235" s="2" t="s">
        <v>4</v>
      </c>
      <c r="D235" s="1">
        <v>0.32</v>
      </c>
      <c r="E235" s="1" t="str" cm="1">
        <f t="array" ref="E235">_xlfn.IFS(
D235&lt;20,"Light",
D235&lt;50,"Medium",
D235&lt;100,"Heavy",
D235&gt;=100,"Very Heavy")</f>
        <v>Light</v>
      </c>
      <c r="F235" s="2">
        <v>21</v>
      </c>
      <c r="G235" s="2" t="str" cm="1">
        <f t="array" ref="G235">_xlfn.IFS(
F235&lt;50,"Small",
F235&lt;100,"Medium",
F235&lt;150,"Large",
F235&gt;=150,"Very Large"
)</f>
        <v>Small</v>
      </c>
      <c r="H235" s="2" t="s">
        <v>33</v>
      </c>
      <c r="I235" s="2">
        <v>52.241309000000001</v>
      </c>
      <c r="J235" s="2">
        <v>21.057247</v>
      </c>
      <c r="K235" s="2" t="str">
        <f t="shared" si="13"/>
        <v>Available</v>
      </c>
      <c r="L235" s="2" t="s">
        <v>10</v>
      </c>
      <c r="M235" s="3">
        <v>45365</v>
      </c>
      <c r="N235" s="3" t="str">
        <f t="shared" si="14"/>
        <v>March</v>
      </c>
      <c r="O235" s="2" t="s">
        <v>6</v>
      </c>
      <c r="P235" t="str">
        <f t="shared" si="15"/>
        <v>OK</v>
      </c>
    </row>
    <row r="236" spans="1:16" x14ac:dyDescent="0.3">
      <c r="A236" s="2">
        <f t="shared" si="12"/>
        <v>235</v>
      </c>
      <c r="B236" s="2" t="s">
        <v>29</v>
      </c>
      <c r="C236" s="2" t="s">
        <v>7</v>
      </c>
      <c r="D236" s="1">
        <v>0.28699999999999998</v>
      </c>
      <c r="E236" s="1" t="str" cm="1">
        <f t="array" ref="E236">_xlfn.IFS(
D236&lt;20,"Light",
D236&lt;50,"Medium",
D236&lt;100,"Heavy",
D236&gt;=100,"Very Heavy")</f>
        <v>Light</v>
      </c>
      <c r="F236" s="2">
        <v>23</v>
      </c>
      <c r="G236" s="2" t="str" cm="1">
        <f t="array" ref="G236">_xlfn.IFS(
F236&lt;50,"Small",
F236&lt;100,"Medium",
F236&lt;150,"Large",
F236&gt;=150,"Very Large"
)</f>
        <v>Small</v>
      </c>
      <c r="H236" s="2" t="s">
        <v>33</v>
      </c>
      <c r="I236" s="2">
        <v>47.508679000000001</v>
      </c>
      <c r="J236" s="2">
        <v>18.946127000000001</v>
      </c>
      <c r="K236" s="2" t="str">
        <f t="shared" si="13"/>
        <v>Available</v>
      </c>
      <c r="L236" s="2" t="s">
        <v>10</v>
      </c>
      <c r="M236" s="3">
        <v>45365</v>
      </c>
      <c r="N236" s="3" t="str">
        <f t="shared" si="14"/>
        <v>March</v>
      </c>
      <c r="O236" s="2" t="s">
        <v>6</v>
      </c>
      <c r="P236" t="str">
        <f t="shared" si="15"/>
        <v>OK</v>
      </c>
    </row>
    <row r="237" spans="1:16" x14ac:dyDescent="0.3">
      <c r="A237" s="2">
        <f t="shared" si="12"/>
        <v>236</v>
      </c>
      <c r="B237" s="2" t="s">
        <v>30</v>
      </c>
      <c r="C237" s="2" t="s">
        <v>17</v>
      </c>
      <c r="D237" s="1">
        <v>0.8</v>
      </c>
      <c r="E237" s="1" t="str" cm="1">
        <f t="array" ref="E237">_xlfn.IFS(
D237&lt;20,"Light",
D237&lt;50,"Medium",
D237&lt;100,"Heavy",
D237&gt;=100,"Very Heavy")</f>
        <v>Light</v>
      </c>
      <c r="F237" s="2">
        <v>24</v>
      </c>
      <c r="G237" s="2" t="str" cm="1">
        <f t="array" ref="G237">_xlfn.IFS(
F237&lt;50,"Small",
F237&lt;100,"Medium",
F237&lt;150,"Large",
F237&gt;=150,"Very Large"
)</f>
        <v>Small</v>
      </c>
      <c r="H237" s="2" t="s">
        <v>10</v>
      </c>
      <c r="I237" s="2">
        <v>47.781689</v>
      </c>
      <c r="J237" s="2">
        <v>14.386777</v>
      </c>
      <c r="K237" s="2" t="str">
        <f t="shared" si="13"/>
        <v>Available</v>
      </c>
      <c r="L237" s="2" t="s">
        <v>10</v>
      </c>
      <c r="M237" s="3">
        <v>45365</v>
      </c>
      <c r="N237" s="3" t="str">
        <f t="shared" si="14"/>
        <v>March</v>
      </c>
      <c r="O237" s="2" t="s">
        <v>12</v>
      </c>
      <c r="P237" t="str">
        <f t="shared" si="15"/>
        <v>OK</v>
      </c>
    </row>
    <row r="238" spans="1:16" x14ac:dyDescent="0.3">
      <c r="A238" s="2">
        <f t="shared" si="12"/>
        <v>237</v>
      </c>
      <c r="B238" s="2" t="s">
        <v>30</v>
      </c>
      <c r="C238" s="2" t="s">
        <v>17</v>
      </c>
      <c r="D238" s="1">
        <v>0.7</v>
      </c>
      <c r="E238" s="1" t="str" cm="1">
        <f t="array" ref="E238">_xlfn.IFS(
D238&lt;20,"Light",
D238&lt;50,"Medium",
D238&lt;100,"Heavy",
D238&gt;=100,"Very Heavy")</f>
        <v>Light</v>
      </c>
      <c r="F238" s="2">
        <v>19</v>
      </c>
      <c r="G238" s="2" t="str" cm="1">
        <f t="array" ref="G238">_xlfn.IFS(
F238&lt;50,"Small",
F238&lt;100,"Medium",
F238&lt;150,"Large",
F238&gt;=150,"Very Large"
)</f>
        <v>Small</v>
      </c>
      <c r="H238" s="2" t="s">
        <v>33</v>
      </c>
      <c r="I238" s="2">
        <v>47.781139000000003</v>
      </c>
      <c r="J238" s="2">
        <v>14.382004</v>
      </c>
      <c r="K238" s="2" t="str">
        <f t="shared" si="13"/>
        <v>Available</v>
      </c>
      <c r="L238" s="2" t="s">
        <v>10</v>
      </c>
      <c r="M238" s="3">
        <v>45365</v>
      </c>
      <c r="N238" s="3" t="str">
        <f t="shared" si="14"/>
        <v>March</v>
      </c>
      <c r="O238" s="2" t="s">
        <v>12</v>
      </c>
      <c r="P238" t="str">
        <f t="shared" si="15"/>
        <v>OK</v>
      </c>
    </row>
    <row r="239" spans="1:16" x14ac:dyDescent="0.3">
      <c r="A239" s="2">
        <f t="shared" si="12"/>
        <v>238</v>
      </c>
      <c r="B239" s="2" t="s">
        <v>30</v>
      </c>
      <c r="C239" s="2" t="s">
        <v>17</v>
      </c>
      <c r="D239" s="1">
        <v>0.8</v>
      </c>
      <c r="E239" s="1" t="str" cm="1">
        <f t="array" ref="E239">_xlfn.IFS(
D239&lt;20,"Light",
D239&lt;50,"Medium",
D239&lt;100,"Heavy",
D239&gt;=100,"Very Heavy")</f>
        <v>Light</v>
      </c>
      <c r="F239" s="2">
        <v>20</v>
      </c>
      <c r="G239" s="2" t="str" cm="1">
        <f t="array" ref="G239">_xlfn.IFS(
F239&lt;50,"Small",
F239&lt;100,"Medium",
F239&lt;150,"Large",
F239&gt;=150,"Very Large"
)</f>
        <v>Small</v>
      </c>
      <c r="H239" s="2" t="s">
        <v>32</v>
      </c>
      <c r="I239" s="2">
        <v>47.781827999999997</v>
      </c>
      <c r="J239" s="2">
        <v>14.385001000000001</v>
      </c>
      <c r="K239" s="2" t="str">
        <f t="shared" si="13"/>
        <v>Available</v>
      </c>
      <c r="L239" s="2" t="s">
        <v>10</v>
      </c>
      <c r="M239" s="3">
        <v>45365</v>
      </c>
      <c r="N239" s="3" t="str">
        <f t="shared" si="14"/>
        <v>March</v>
      </c>
      <c r="O239" s="2" t="s">
        <v>12</v>
      </c>
      <c r="P239" t="str">
        <f t="shared" si="15"/>
        <v>OK</v>
      </c>
    </row>
    <row r="240" spans="1:16" x14ac:dyDescent="0.3">
      <c r="A240" s="2">
        <f t="shared" si="12"/>
        <v>239</v>
      </c>
      <c r="B240" s="2" t="s">
        <v>30</v>
      </c>
      <c r="C240" s="2" t="s">
        <v>17</v>
      </c>
      <c r="D240" s="1">
        <v>0.6</v>
      </c>
      <c r="E240" s="1" t="str" cm="1">
        <f t="array" ref="E240">_xlfn.IFS(
D240&lt;20,"Light",
D240&lt;50,"Medium",
D240&lt;100,"Heavy",
D240&gt;=100,"Very Heavy")</f>
        <v>Light</v>
      </c>
      <c r="F240" s="2">
        <v>14</v>
      </c>
      <c r="G240" s="2" t="str" cm="1">
        <f t="array" ref="G240">_xlfn.IFS(
F240&lt;50,"Small",
F240&lt;100,"Medium",
F240&lt;150,"Large",
F240&gt;=150,"Very Large"
)</f>
        <v>Small</v>
      </c>
      <c r="H240" s="2" t="s">
        <v>33</v>
      </c>
      <c r="I240" s="2">
        <v>47.781059999999997</v>
      </c>
      <c r="J240" s="2">
        <v>14.386806999999999</v>
      </c>
      <c r="K240" s="2" t="str">
        <f t="shared" si="13"/>
        <v>Available</v>
      </c>
      <c r="L240" s="2" t="s">
        <v>10</v>
      </c>
      <c r="M240" s="3">
        <v>45365</v>
      </c>
      <c r="N240" s="3" t="str">
        <f t="shared" si="14"/>
        <v>March</v>
      </c>
      <c r="O240" s="2" t="s">
        <v>12</v>
      </c>
      <c r="P240" t="str">
        <f t="shared" si="15"/>
        <v>OK</v>
      </c>
    </row>
    <row r="241" spans="1:16" x14ac:dyDescent="0.3">
      <c r="A241" s="2">
        <f t="shared" si="12"/>
        <v>240</v>
      </c>
      <c r="B241" s="2" t="s">
        <v>30</v>
      </c>
      <c r="C241" s="2" t="s">
        <v>17</v>
      </c>
      <c r="D241" s="1">
        <v>0.7</v>
      </c>
      <c r="E241" s="1" t="str" cm="1">
        <f t="array" ref="E241">_xlfn.IFS(
D241&lt;20,"Light",
D241&lt;50,"Medium",
D241&lt;100,"Heavy",
D241&gt;=100,"Very Heavy")</f>
        <v>Light</v>
      </c>
      <c r="F241" s="2">
        <v>24</v>
      </c>
      <c r="G241" s="2" t="str" cm="1">
        <f t="array" ref="G241">_xlfn.IFS(
F241&lt;50,"Small",
F241&lt;100,"Medium",
F241&lt;150,"Large",
F241&gt;=150,"Very Large"
)</f>
        <v>Small</v>
      </c>
      <c r="H241" s="2" t="s">
        <v>32</v>
      </c>
      <c r="I241" s="2">
        <v>47.780872000000002</v>
      </c>
      <c r="J241" s="2">
        <v>14.384460000000001</v>
      </c>
      <c r="K241" s="2" t="str">
        <f t="shared" si="13"/>
        <v>Available</v>
      </c>
      <c r="L241" s="2" t="s">
        <v>10</v>
      </c>
      <c r="M241" s="3">
        <v>45365</v>
      </c>
      <c r="N241" s="3" t="str">
        <f t="shared" si="14"/>
        <v>March</v>
      </c>
      <c r="O241" s="2" t="s">
        <v>12</v>
      </c>
      <c r="P241" t="str">
        <f t="shared" si="15"/>
        <v>OK</v>
      </c>
    </row>
    <row r="242" spans="1:16" x14ac:dyDescent="0.3">
      <c r="A242" s="2">
        <f t="shared" si="12"/>
        <v>241</v>
      </c>
      <c r="B242" s="2" t="s">
        <v>30</v>
      </c>
      <c r="C242" s="2" t="s">
        <v>17</v>
      </c>
      <c r="D242" s="1">
        <v>0.8</v>
      </c>
      <c r="E242" s="1" t="str" cm="1">
        <f t="array" ref="E242">_xlfn.IFS(
D242&lt;20,"Light",
D242&lt;50,"Medium",
D242&lt;100,"Heavy",
D242&gt;=100,"Very Heavy")</f>
        <v>Light</v>
      </c>
      <c r="F242" s="2">
        <v>21</v>
      </c>
      <c r="G242" s="2" t="str" cm="1">
        <f t="array" ref="G242">_xlfn.IFS(
F242&lt;50,"Small",
F242&lt;100,"Medium",
F242&lt;150,"Large",
F242&gt;=150,"Very Large"
)</f>
        <v>Small</v>
      </c>
      <c r="H242" s="2" t="s">
        <v>33</v>
      </c>
      <c r="I242" s="2">
        <v>47.781117000000002</v>
      </c>
      <c r="J242" s="2">
        <v>14.38608</v>
      </c>
      <c r="K242" s="2" t="str">
        <f t="shared" si="13"/>
        <v>Available</v>
      </c>
      <c r="L242" s="2" t="s">
        <v>10</v>
      </c>
      <c r="M242" s="3">
        <v>45365</v>
      </c>
      <c r="N242" s="3" t="str">
        <f t="shared" si="14"/>
        <v>March</v>
      </c>
      <c r="O242" s="2" t="s">
        <v>12</v>
      </c>
      <c r="P242" t="str">
        <f t="shared" si="15"/>
        <v>OK</v>
      </c>
    </row>
    <row r="243" spans="1:16" x14ac:dyDescent="0.3">
      <c r="A243" s="2">
        <f t="shared" si="12"/>
        <v>242</v>
      </c>
      <c r="B243" s="2" t="s">
        <v>28</v>
      </c>
      <c r="C243" s="2" t="s">
        <v>17</v>
      </c>
      <c r="D243" s="1">
        <v>22</v>
      </c>
      <c r="E243" s="1" t="str" cm="1">
        <f t="array" ref="E243">_xlfn.IFS(
D243&lt;20,"Light",
D243&lt;50,"Medium",
D243&lt;100,"Heavy",
D243&gt;=100,"Very Heavy")</f>
        <v>Medium</v>
      </c>
      <c r="F243" s="2">
        <v>80</v>
      </c>
      <c r="G243" s="2" t="str" cm="1">
        <f t="array" ref="G243">_xlfn.IFS(
F243&lt;50,"Small",
F243&lt;100,"Medium",
F243&lt;150,"Large",
F243&gt;=150,"Very Large"
)</f>
        <v>Medium</v>
      </c>
      <c r="H243" s="2" t="s">
        <v>33</v>
      </c>
      <c r="I243" s="2">
        <v>47.780779000000003</v>
      </c>
      <c r="J243" s="2">
        <v>14.384918000000001</v>
      </c>
      <c r="K243" s="2" t="str">
        <f t="shared" si="13"/>
        <v>Available</v>
      </c>
      <c r="L243" s="2" t="s">
        <v>10</v>
      </c>
      <c r="M243" s="3">
        <v>45365</v>
      </c>
      <c r="N243" s="3" t="str">
        <f t="shared" si="14"/>
        <v>March</v>
      </c>
      <c r="O243" s="2" t="s">
        <v>12</v>
      </c>
      <c r="P243" t="str">
        <f t="shared" si="15"/>
        <v>OK</v>
      </c>
    </row>
    <row r="244" spans="1:16" x14ac:dyDescent="0.3">
      <c r="A244" s="2">
        <f t="shared" si="12"/>
        <v>243</v>
      </c>
      <c r="B244" s="2" t="s">
        <v>28</v>
      </c>
      <c r="C244" s="2" t="s">
        <v>17</v>
      </c>
      <c r="D244" s="1">
        <v>23</v>
      </c>
      <c r="E244" s="1" t="str" cm="1">
        <f t="array" ref="E244">_xlfn.IFS(
D244&lt;20,"Light",
D244&lt;50,"Medium",
D244&lt;100,"Heavy",
D244&gt;=100,"Very Heavy")</f>
        <v>Medium</v>
      </c>
      <c r="F244" s="2">
        <v>86</v>
      </c>
      <c r="G244" s="2" t="str" cm="1">
        <f t="array" ref="G244">_xlfn.IFS(
F244&lt;50,"Small",
F244&lt;100,"Medium",
F244&lt;150,"Large",
F244&gt;=150,"Very Large"
)</f>
        <v>Medium</v>
      </c>
      <c r="H244" s="2" t="s">
        <v>32</v>
      </c>
      <c r="I244" s="2">
        <v>47.781256999999997</v>
      </c>
      <c r="J244" s="2">
        <v>14.383099</v>
      </c>
      <c r="K244" s="2" t="str">
        <f t="shared" si="13"/>
        <v>Available</v>
      </c>
      <c r="L244" s="2" t="s">
        <v>10</v>
      </c>
      <c r="M244" s="3">
        <v>45365</v>
      </c>
      <c r="N244" s="3" t="str">
        <f t="shared" si="14"/>
        <v>March</v>
      </c>
      <c r="O244" s="2" t="s">
        <v>12</v>
      </c>
      <c r="P244" t="str">
        <f t="shared" si="15"/>
        <v>OK</v>
      </c>
    </row>
    <row r="245" spans="1:16" x14ac:dyDescent="0.3">
      <c r="A245" s="2">
        <f t="shared" si="12"/>
        <v>244</v>
      </c>
      <c r="B245" s="2" t="s">
        <v>30</v>
      </c>
      <c r="C245" s="2" t="s">
        <v>15</v>
      </c>
      <c r="D245" s="1">
        <v>0.9</v>
      </c>
      <c r="E245" s="1" t="str" cm="1">
        <f t="array" ref="E245">_xlfn.IFS(
D245&lt;20,"Light",
D245&lt;50,"Medium",
D245&lt;100,"Heavy",
D245&gt;=100,"Very Heavy")</f>
        <v>Light</v>
      </c>
      <c r="F245" s="2">
        <v>16</v>
      </c>
      <c r="G245" s="2" t="str" cm="1">
        <f t="array" ref="G245">_xlfn.IFS(
F245&lt;50,"Small",
F245&lt;100,"Medium",
F245&lt;150,"Large",
F245&gt;=150,"Very Large"
)</f>
        <v>Small</v>
      </c>
      <c r="H245" s="2" t="s">
        <v>33</v>
      </c>
      <c r="I245" s="2">
        <v>49.938490000000002</v>
      </c>
      <c r="J245" s="2">
        <v>14.180199999999999</v>
      </c>
      <c r="K245" s="2" t="str">
        <f t="shared" si="13"/>
        <v>Available</v>
      </c>
      <c r="L245" s="2" t="s">
        <v>10</v>
      </c>
      <c r="M245" s="3">
        <v>45365</v>
      </c>
      <c r="N245" s="3" t="str">
        <f t="shared" si="14"/>
        <v>March</v>
      </c>
      <c r="O245" s="2" t="s">
        <v>14</v>
      </c>
      <c r="P245" t="str">
        <f t="shared" si="15"/>
        <v>OK</v>
      </c>
    </row>
    <row r="246" spans="1:16" x14ac:dyDescent="0.3">
      <c r="A246" s="2">
        <f t="shared" si="12"/>
        <v>245</v>
      </c>
      <c r="B246" s="2" t="s">
        <v>30</v>
      </c>
      <c r="C246" s="2" t="s">
        <v>4</v>
      </c>
      <c r="D246" s="1">
        <v>0.9</v>
      </c>
      <c r="E246" s="1" t="str" cm="1">
        <f t="array" ref="E246">_xlfn.IFS(
D246&lt;20,"Light",
D246&lt;50,"Medium",
D246&lt;100,"Heavy",
D246&gt;=100,"Very Heavy")</f>
        <v>Light</v>
      </c>
      <c r="F246" s="2">
        <v>22</v>
      </c>
      <c r="G246" s="2" t="str" cm="1">
        <f t="array" ref="G246">_xlfn.IFS(
F246&lt;50,"Small",
F246&lt;100,"Medium",
F246&lt;150,"Large",
F246&gt;=150,"Very Large"
)</f>
        <v>Small</v>
      </c>
      <c r="H246" s="2" t="s">
        <v>32</v>
      </c>
      <c r="I246" s="2">
        <v>52.214497999999999</v>
      </c>
      <c r="J246" s="2">
        <v>21.034200999999999</v>
      </c>
      <c r="K246" s="2" t="str">
        <f t="shared" si="13"/>
        <v>Available</v>
      </c>
      <c r="L246" s="2" t="s">
        <v>10</v>
      </c>
      <c r="M246" s="3">
        <v>45366</v>
      </c>
      <c r="N246" s="3" t="str">
        <f t="shared" si="14"/>
        <v>March</v>
      </c>
      <c r="O246" s="2" t="s">
        <v>6</v>
      </c>
      <c r="P246" t="str">
        <f t="shared" si="15"/>
        <v>OK</v>
      </c>
    </row>
    <row r="247" spans="1:16" x14ac:dyDescent="0.3">
      <c r="A247" s="2">
        <f t="shared" si="12"/>
        <v>246</v>
      </c>
      <c r="B247" s="2" t="s">
        <v>28</v>
      </c>
      <c r="C247" s="2" t="s">
        <v>4</v>
      </c>
      <c r="D247" s="1">
        <v>16</v>
      </c>
      <c r="E247" s="1" t="str" cm="1">
        <f t="array" ref="E247">_xlfn.IFS(
D247&lt;20,"Light",
D247&lt;50,"Medium",
D247&lt;100,"Heavy",
D247&gt;=100,"Very Heavy")</f>
        <v>Light</v>
      </c>
      <c r="F247" s="2">
        <v>70</v>
      </c>
      <c r="G247" s="2" t="str" cm="1">
        <f t="array" ref="G247">_xlfn.IFS(
F247&lt;50,"Small",
F247&lt;100,"Medium",
F247&lt;150,"Large",
F247&gt;=150,"Very Large"
)</f>
        <v>Medium</v>
      </c>
      <c r="H247" s="2" t="s">
        <v>32</v>
      </c>
      <c r="I247" s="2">
        <v>52.803128999999998</v>
      </c>
      <c r="J247" s="2">
        <v>23.844358</v>
      </c>
      <c r="K247" s="2" t="str">
        <f t="shared" si="13"/>
        <v>Available</v>
      </c>
      <c r="L247" s="2" t="s">
        <v>10</v>
      </c>
      <c r="M247" s="3">
        <v>45366</v>
      </c>
      <c r="N247" s="3" t="str">
        <f t="shared" si="14"/>
        <v>March</v>
      </c>
      <c r="O247" s="2" t="s">
        <v>6</v>
      </c>
      <c r="P247" t="str">
        <f t="shared" si="15"/>
        <v>OK</v>
      </c>
    </row>
    <row r="248" spans="1:16" x14ac:dyDescent="0.3">
      <c r="A248" s="2">
        <f t="shared" si="12"/>
        <v>247</v>
      </c>
      <c r="B248" s="2" t="s">
        <v>30</v>
      </c>
      <c r="C248" s="2" t="s">
        <v>15</v>
      </c>
      <c r="D248" s="1">
        <v>0.7</v>
      </c>
      <c r="E248" s="1" t="str" cm="1">
        <f t="array" ref="E248">_xlfn.IFS(
D248&lt;20,"Light",
D248&lt;50,"Medium",
D248&lt;100,"Heavy",
D248&gt;=100,"Very Heavy")</f>
        <v>Light</v>
      </c>
      <c r="F248" s="2">
        <v>21</v>
      </c>
      <c r="G248" s="2" t="str" cm="1">
        <f t="array" ref="G248">_xlfn.IFS(
F248&lt;50,"Small",
F248&lt;100,"Medium",
F248&lt;150,"Large",
F248&gt;=150,"Very Large"
)</f>
        <v>Small</v>
      </c>
      <c r="H248" s="2" t="s">
        <v>33</v>
      </c>
      <c r="I248" s="2">
        <v>49.938132000000003</v>
      </c>
      <c r="J248" s="2">
        <v>14.181225</v>
      </c>
      <c r="K248" s="2" t="str">
        <f t="shared" si="13"/>
        <v>Available</v>
      </c>
      <c r="L248" s="2" t="s">
        <v>10</v>
      </c>
      <c r="M248" s="3">
        <v>45366</v>
      </c>
      <c r="N248" s="3" t="str">
        <f t="shared" si="14"/>
        <v>March</v>
      </c>
      <c r="O248" s="2" t="s">
        <v>14</v>
      </c>
      <c r="P248" t="str">
        <f t="shared" si="15"/>
        <v>OK</v>
      </c>
    </row>
    <row r="249" spans="1:16" x14ac:dyDescent="0.3">
      <c r="A249" s="2">
        <f t="shared" si="12"/>
        <v>248</v>
      </c>
      <c r="B249" s="2" t="s">
        <v>29</v>
      </c>
      <c r="C249" s="2" t="s">
        <v>13</v>
      </c>
      <c r="D249" s="1">
        <v>0.29399999999999998</v>
      </c>
      <c r="E249" s="1" t="str" cm="1">
        <f t="array" ref="E249">_xlfn.IFS(
D249&lt;20,"Light",
D249&lt;50,"Medium",
D249&lt;100,"Heavy",
D249&gt;=100,"Very Heavy")</f>
        <v>Light</v>
      </c>
      <c r="F249" s="2">
        <v>23</v>
      </c>
      <c r="G249" s="2" t="str" cm="1">
        <f t="array" ref="G249">_xlfn.IFS(
F249&lt;50,"Small",
F249&lt;100,"Medium",
F249&lt;150,"Large",
F249&gt;=150,"Very Large"
)</f>
        <v>Small</v>
      </c>
      <c r="H249" s="2" t="s">
        <v>32</v>
      </c>
      <c r="I249" s="2">
        <v>48.184373999999998</v>
      </c>
      <c r="J249" s="2">
        <v>17.085999999999999</v>
      </c>
      <c r="K249" s="2" t="str">
        <f t="shared" si="13"/>
        <v>Available</v>
      </c>
      <c r="L249" s="2" t="s">
        <v>10</v>
      </c>
      <c r="M249" s="3">
        <v>45366</v>
      </c>
      <c r="N249" s="3" t="str">
        <f t="shared" si="14"/>
        <v>March</v>
      </c>
      <c r="O249" s="2" t="s">
        <v>14</v>
      </c>
      <c r="P249" t="str">
        <f t="shared" si="15"/>
        <v>OK</v>
      </c>
    </row>
    <row r="250" spans="1:16" x14ac:dyDescent="0.3">
      <c r="A250" s="2">
        <f t="shared" si="12"/>
        <v>249</v>
      </c>
      <c r="B250" s="2" t="s">
        <v>29</v>
      </c>
      <c r="C250" s="2" t="s">
        <v>15</v>
      </c>
      <c r="D250" s="1">
        <v>0.26700000000000002</v>
      </c>
      <c r="E250" s="1" t="str" cm="1">
        <f t="array" ref="E250">_xlfn.IFS(
D250&lt;20,"Light",
D250&lt;50,"Medium",
D250&lt;100,"Heavy",
D250&gt;=100,"Very Heavy")</f>
        <v>Light</v>
      </c>
      <c r="F250" s="2">
        <v>18</v>
      </c>
      <c r="G250" s="2" t="str" cm="1">
        <f t="array" ref="G250">_xlfn.IFS(
F250&lt;50,"Small",
F250&lt;100,"Medium",
F250&lt;150,"Large",
F250&gt;=150,"Very Large"
)</f>
        <v>Small</v>
      </c>
      <c r="H250" s="2" t="s">
        <v>33</v>
      </c>
      <c r="I250" s="2">
        <v>49.938859999999998</v>
      </c>
      <c r="J250" s="2">
        <v>14.182738000000001</v>
      </c>
      <c r="K250" s="2" t="str">
        <f t="shared" si="13"/>
        <v>Available</v>
      </c>
      <c r="L250" s="2" t="s">
        <v>10</v>
      </c>
      <c r="M250" s="3">
        <v>45366</v>
      </c>
      <c r="N250" s="3" t="str">
        <f t="shared" si="14"/>
        <v>March</v>
      </c>
      <c r="O250" s="2" t="s">
        <v>14</v>
      </c>
      <c r="P250" t="str">
        <f t="shared" si="15"/>
        <v>OK</v>
      </c>
    </row>
    <row r="251" spans="1:16" x14ac:dyDescent="0.3">
      <c r="A251" s="2">
        <f t="shared" si="12"/>
        <v>250</v>
      </c>
      <c r="B251" s="2" t="s">
        <v>29</v>
      </c>
      <c r="C251" s="2" t="s">
        <v>15</v>
      </c>
      <c r="D251" s="1">
        <v>0.32800000000000001</v>
      </c>
      <c r="E251" s="1" t="str" cm="1">
        <f t="array" ref="E251">_xlfn.IFS(
D251&lt;20,"Light",
D251&lt;50,"Medium",
D251&lt;100,"Heavy",
D251&gt;=100,"Very Heavy")</f>
        <v>Light</v>
      </c>
      <c r="F251" s="2">
        <v>19</v>
      </c>
      <c r="G251" s="2" t="str" cm="1">
        <f t="array" ref="G251">_xlfn.IFS(
F251&lt;50,"Small",
F251&lt;100,"Medium",
F251&lt;150,"Large",
F251&gt;=150,"Very Large"
)</f>
        <v>Small</v>
      </c>
      <c r="H251" s="2" t="s">
        <v>32</v>
      </c>
      <c r="I251" s="2">
        <v>49.938357000000003</v>
      </c>
      <c r="J251" s="2">
        <v>14.177929000000001</v>
      </c>
      <c r="K251" s="2" t="str">
        <f t="shared" si="13"/>
        <v>Available</v>
      </c>
      <c r="L251" s="2" t="s">
        <v>10</v>
      </c>
      <c r="M251" s="3">
        <v>45366</v>
      </c>
      <c r="N251" s="3" t="str">
        <f t="shared" si="14"/>
        <v>March</v>
      </c>
      <c r="O251" s="2" t="s">
        <v>14</v>
      </c>
      <c r="P251" t="str">
        <f t="shared" si="15"/>
        <v>OK</v>
      </c>
    </row>
    <row r="252" spans="1:16" x14ac:dyDescent="0.3">
      <c r="A252" s="2">
        <f t="shared" si="12"/>
        <v>251</v>
      </c>
      <c r="B252" s="2" t="s">
        <v>27</v>
      </c>
      <c r="C252" s="2" t="s">
        <v>4</v>
      </c>
      <c r="D252" s="1">
        <v>35</v>
      </c>
      <c r="E252" s="1" t="str" cm="1">
        <f t="array" ref="E252">_xlfn.IFS(
D252&lt;20,"Light",
D252&lt;50,"Medium",
D252&lt;100,"Heavy",
D252&gt;=100,"Very Heavy")</f>
        <v>Medium</v>
      </c>
      <c r="F252" s="2">
        <v>125</v>
      </c>
      <c r="G252" s="2" t="str" cm="1">
        <f t="array" ref="G252">_xlfn.IFS(
F252&lt;50,"Small",
F252&lt;100,"Medium",
F252&lt;150,"Large",
F252&gt;=150,"Very Large"
)</f>
        <v>Large</v>
      </c>
      <c r="H252" s="2" t="s">
        <v>33</v>
      </c>
      <c r="I252" s="2">
        <v>52.820739000000003</v>
      </c>
      <c r="J252" s="2">
        <v>23.815145000000001</v>
      </c>
      <c r="K252" s="2" t="str">
        <f t="shared" si="13"/>
        <v>Available</v>
      </c>
      <c r="L252" s="2" t="s">
        <v>10</v>
      </c>
      <c r="M252" s="3">
        <v>45367</v>
      </c>
      <c r="N252" s="3" t="str">
        <f t="shared" si="14"/>
        <v>March</v>
      </c>
      <c r="O252" s="2" t="s">
        <v>6</v>
      </c>
      <c r="P252" t="str">
        <f t="shared" si="15"/>
        <v>OK</v>
      </c>
    </row>
    <row r="253" spans="1:16" x14ac:dyDescent="0.3">
      <c r="A253" s="2">
        <f t="shared" si="12"/>
        <v>252</v>
      </c>
      <c r="B253" s="2" t="s">
        <v>30</v>
      </c>
      <c r="C253" s="2" t="s">
        <v>7</v>
      </c>
      <c r="D253" s="1">
        <v>0.6</v>
      </c>
      <c r="E253" s="1" t="str" cm="1">
        <f t="array" ref="E253">_xlfn.IFS(
D253&lt;20,"Light",
D253&lt;50,"Medium",
D253&lt;100,"Heavy",
D253&gt;=100,"Very Heavy")</f>
        <v>Light</v>
      </c>
      <c r="F253" s="2">
        <v>23</v>
      </c>
      <c r="G253" s="2" t="str" cm="1">
        <f t="array" ref="G253">_xlfn.IFS(
F253&lt;50,"Small",
F253&lt;100,"Medium",
F253&lt;150,"Large",
F253&gt;=150,"Very Large"
)</f>
        <v>Small</v>
      </c>
      <c r="H253" s="2" t="s">
        <v>32</v>
      </c>
      <c r="I253" s="2">
        <v>48.501762999999997</v>
      </c>
      <c r="J253" s="2">
        <v>20.547975999999998</v>
      </c>
      <c r="K253" s="2" t="str">
        <f t="shared" si="13"/>
        <v>Available</v>
      </c>
      <c r="L253" s="2" t="s">
        <v>10</v>
      </c>
      <c r="M253" s="3">
        <v>45367</v>
      </c>
      <c r="N253" s="3" t="str">
        <f t="shared" si="14"/>
        <v>March</v>
      </c>
      <c r="O253" s="2" t="s">
        <v>6</v>
      </c>
      <c r="P253" t="str">
        <f t="shared" si="15"/>
        <v>OK</v>
      </c>
    </row>
    <row r="254" spans="1:16" x14ac:dyDescent="0.3">
      <c r="A254" s="2">
        <f t="shared" si="12"/>
        <v>253</v>
      </c>
      <c r="B254" s="2" t="s">
        <v>28</v>
      </c>
      <c r="C254" s="2" t="s">
        <v>4</v>
      </c>
      <c r="D254" s="1">
        <v>16</v>
      </c>
      <c r="E254" s="1" t="str" cm="1">
        <f t="array" ref="E254">_xlfn.IFS(
D254&lt;20,"Light",
D254&lt;50,"Medium",
D254&lt;100,"Heavy",
D254&gt;=100,"Very Heavy")</f>
        <v>Light</v>
      </c>
      <c r="F254" s="2">
        <v>72</v>
      </c>
      <c r="G254" s="2" t="str" cm="1">
        <f t="array" ref="G254">_xlfn.IFS(
F254&lt;50,"Small",
F254&lt;100,"Medium",
F254&lt;150,"Large",
F254&gt;=150,"Very Large"
)</f>
        <v>Medium</v>
      </c>
      <c r="H254" s="2" t="s">
        <v>32</v>
      </c>
      <c r="I254" s="2">
        <v>52.814211</v>
      </c>
      <c r="J254" s="2">
        <v>23.834358000000002</v>
      </c>
      <c r="K254" s="2" t="str">
        <f t="shared" si="13"/>
        <v>Available</v>
      </c>
      <c r="L254" s="2" t="s">
        <v>10</v>
      </c>
      <c r="M254" s="3">
        <v>45367</v>
      </c>
      <c r="N254" s="3" t="str">
        <f t="shared" si="14"/>
        <v>March</v>
      </c>
      <c r="O254" s="2" t="s">
        <v>6</v>
      </c>
      <c r="P254" t="str">
        <f t="shared" si="15"/>
        <v>OK</v>
      </c>
    </row>
    <row r="255" spans="1:16" x14ac:dyDescent="0.3">
      <c r="A255" s="2">
        <f t="shared" si="12"/>
        <v>254</v>
      </c>
      <c r="B255" s="2" t="s">
        <v>28</v>
      </c>
      <c r="C255" s="2" t="s">
        <v>4</v>
      </c>
      <c r="D255" s="1">
        <v>18</v>
      </c>
      <c r="E255" s="1" t="str" cm="1">
        <f t="array" ref="E255">_xlfn.IFS(
D255&lt;20,"Light",
D255&lt;50,"Medium",
D255&lt;100,"Heavy",
D255&gt;=100,"Very Heavy")</f>
        <v>Light</v>
      </c>
      <c r="F255" s="2">
        <v>81</v>
      </c>
      <c r="G255" s="2" t="str" cm="1">
        <f t="array" ref="G255">_xlfn.IFS(
F255&lt;50,"Small",
F255&lt;100,"Medium",
F255&lt;150,"Large",
F255&gt;=150,"Very Large"
)</f>
        <v>Medium</v>
      </c>
      <c r="H255" s="2" t="s">
        <v>33</v>
      </c>
      <c r="I255" s="2">
        <v>52.802757</v>
      </c>
      <c r="J255" s="2">
        <v>23.835198999999999</v>
      </c>
      <c r="K255" s="2" t="str">
        <f t="shared" si="13"/>
        <v>Available</v>
      </c>
      <c r="L255" s="2" t="s">
        <v>10</v>
      </c>
      <c r="M255" s="3">
        <v>45367</v>
      </c>
      <c r="N255" s="3" t="str">
        <f t="shared" si="14"/>
        <v>March</v>
      </c>
      <c r="O255" s="2" t="s">
        <v>6</v>
      </c>
      <c r="P255" t="str">
        <f t="shared" si="15"/>
        <v>OK</v>
      </c>
    </row>
    <row r="256" spans="1:16" x14ac:dyDescent="0.3">
      <c r="A256" s="2">
        <f t="shared" si="12"/>
        <v>255</v>
      </c>
      <c r="B256" s="2" t="s">
        <v>29</v>
      </c>
      <c r="C256" s="2" t="s">
        <v>4</v>
      </c>
      <c r="D256" s="1">
        <v>0.34599999999999997</v>
      </c>
      <c r="E256" s="1" t="str" cm="1">
        <f t="array" ref="E256">_xlfn.IFS(
D256&lt;20,"Light",
D256&lt;50,"Medium",
D256&lt;100,"Heavy",
D256&gt;=100,"Very Heavy")</f>
        <v>Light</v>
      </c>
      <c r="F256" s="2">
        <v>19</v>
      </c>
      <c r="G256" s="2" t="str" cm="1">
        <f t="array" ref="G256">_xlfn.IFS(
F256&lt;50,"Small",
F256&lt;100,"Medium",
F256&lt;150,"Large",
F256&gt;=150,"Very Large"
)</f>
        <v>Small</v>
      </c>
      <c r="H256" s="2" t="s">
        <v>32</v>
      </c>
      <c r="I256" s="2">
        <v>52.240529000000002</v>
      </c>
      <c r="J256" s="2">
        <v>21.053602999999999</v>
      </c>
      <c r="K256" s="2" t="str">
        <f t="shared" si="13"/>
        <v>Available</v>
      </c>
      <c r="L256" s="2" t="s">
        <v>10</v>
      </c>
      <c r="M256" s="3">
        <v>45367</v>
      </c>
      <c r="N256" s="3" t="str">
        <f t="shared" si="14"/>
        <v>March</v>
      </c>
      <c r="O256" s="2" t="s">
        <v>6</v>
      </c>
      <c r="P256" t="str">
        <f t="shared" si="15"/>
        <v>OK</v>
      </c>
    </row>
    <row r="257" spans="1:16" x14ac:dyDescent="0.3">
      <c r="A257" s="2">
        <f t="shared" si="12"/>
        <v>256</v>
      </c>
      <c r="B257" s="2" t="s">
        <v>29</v>
      </c>
      <c r="C257" s="2" t="s">
        <v>7</v>
      </c>
      <c r="D257" s="1">
        <v>0.27</v>
      </c>
      <c r="E257" s="1" t="str" cm="1">
        <f t="array" ref="E257">_xlfn.IFS(
D257&lt;20,"Light",
D257&lt;50,"Medium",
D257&lt;100,"Heavy",
D257&gt;=100,"Very Heavy")</f>
        <v>Light</v>
      </c>
      <c r="F257" s="2">
        <v>22</v>
      </c>
      <c r="G257" s="2" t="str" cm="1">
        <f t="array" ref="G257">_xlfn.IFS(
F257&lt;50,"Small",
F257&lt;100,"Medium",
F257&lt;150,"Large",
F257&gt;=150,"Very Large"
)</f>
        <v>Small</v>
      </c>
      <c r="H257" s="2" t="s">
        <v>33</v>
      </c>
      <c r="I257" s="2">
        <v>47.509866000000002</v>
      </c>
      <c r="J257" s="2">
        <v>18.942537999999999</v>
      </c>
      <c r="K257" s="2" t="str">
        <f t="shared" si="13"/>
        <v>Available</v>
      </c>
      <c r="L257" s="2" t="s">
        <v>10</v>
      </c>
      <c r="M257" s="3">
        <v>45367</v>
      </c>
      <c r="N257" s="3" t="str">
        <f t="shared" si="14"/>
        <v>March</v>
      </c>
      <c r="O257" s="2" t="s">
        <v>6</v>
      </c>
      <c r="P257" t="str">
        <f t="shared" si="15"/>
        <v>OK</v>
      </c>
    </row>
    <row r="258" spans="1:16" x14ac:dyDescent="0.3">
      <c r="A258" s="2">
        <f t="shared" si="12"/>
        <v>257</v>
      </c>
      <c r="B258" s="2" t="s">
        <v>29</v>
      </c>
      <c r="C258" s="2" t="s">
        <v>13</v>
      </c>
      <c r="D258" s="1">
        <v>0.32600000000000001</v>
      </c>
      <c r="E258" s="1" t="str" cm="1">
        <f t="array" ref="E258">_xlfn.IFS(
D258&lt;20,"Light",
D258&lt;50,"Medium",
D258&lt;100,"Heavy",
D258&gt;=100,"Very Heavy")</f>
        <v>Light</v>
      </c>
      <c r="F258" s="2">
        <v>19</v>
      </c>
      <c r="G258" s="2" t="str" cm="1">
        <f t="array" ref="G258">_xlfn.IFS(
F258&lt;50,"Small",
F258&lt;100,"Medium",
F258&lt;150,"Large",
F258&gt;=150,"Very Large"
)</f>
        <v>Small</v>
      </c>
      <c r="H258" s="2" t="s">
        <v>33</v>
      </c>
      <c r="I258" s="2">
        <v>48.185585000000003</v>
      </c>
      <c r="J258" s="2">
        <v>17.091365</v>
      </c>
      <c r="K258" s="2" t="str">
        <f t="shared" si="13"/>
        <v>Available</v>
      </c>
      <c r="L258" s="2" t="s">
        <v>10</v>
      </c>
      <c r="M258" s="3">
        <v>45367</v>
      </c>
      <c r="N258" s="3" t="str">
        <f t="shared" si="14"/>
        <v>March</v>
      </c>
      <c r="O258" s="2" t="s">
        <v>14</v>
      </c>
      <c r="P258" t="str">
        <f t="shared" si="15"/>
        <v>OK</v>
      </c>
    </row>
    <row r="259" spans="1:16" x14ac:dyDescent="0.3">
      <c r="A259" s="2">
        <f t="shared" ref="A259:A322" si="16">ROW()-1</f>
        <v>258</v>
      </c>
      <c r="B259" s="2" t="s">
        <v>27</v>
      </c>
      <c r="C259" s="2" t="s">
        <v>4</v>
      </c>
      <c r="D259" s="1">
        <v>915</v>
      </c>
      <c r="E259" s="1" t="str" cm="1">
        <f t="array" ref="E259">_xlfn.IFS(
D259&lt;20,"Light",
D259&lt;50,"Medium",
D259&lt;100,"Heavy",
D259&gt;=100,"Very Heavy")</f>
        <v>Very Heavy</v>
      </c>
      <c r="F259" s="2">
        <v>304</v>
      </c>
      <c r="G259" s="2" t="str" cm="1">
        <f t="array" ref="G259">_xlfn.IFS(
F259&lt;50,"Small",
F259&lt;100,"Medium",
F259&lt;150,"Large",
F259&gt;=150,"Very Large"
)</f>
        <v>Very Large</v>
      </c>
      <c r="H259" s="2" t="s">
        <v>32</v>
      </c>
      <c r="I259" s="2">
        <v>52.822879999999998</v>
      </c>
      <c r="J259" s="2">
        <v>23.810852000000001</v>
      </c>
      <c r="K259" s="2" t="str">
        <f t="shared" ref="K259:K322" si="17">IF(OR(I259="",J259=""),"Missing Location","Available")</f>
        <v>Available</v>
      </c>
      <c r="L259" s="2" t="s">
        <v>10</v>
      </c>
      <c r="M259" s="3">
        <v>45368</v>
      </c>
      <c r="N259" s="3" t="str">
        <f t="shared" ref="N259:N322" si="18">TEXT(M259,"mmmm")</f>
        <v>March</v>
      </c>
      <c r="O259" s="2" t="s">
        <v>6</v>
      </c>
      <c r="P259" t="str">
        <f t="shared" ref="P259:P322" si="19">IF(OR(B259="",C259="",D259="",E259="",J259=""),"Needs Review","OK")</f>
        <v>OK</v>
      </c>
    </row>
    <row r="260" spans="1:16" x14ac:dyDescent="0.3">
      <c r="A260" s="2">
        <f t="shared" si="16"/>
        <v>259</v>
      </c>
      <c r="B260" s="2" t="s">
        <v>30</v>
      </c>
      <c r="C260" s="2" t="s">
        <v>7</v>
      </c>
      <c r="D260" s="1">
        <v>0.7</v>
      </c>
      <c r="E260" s="1" t="str" cm="1">
        <f t="array" ref="E260">_xlfn.IFS(
D260&lt;20,"Light",
D260&lt;50,"Medium",
D260&lt;100,"Heavy",
D260&gt;=100,"Very Heavy")</f>
        <v>Light</v>
      </c>
      <c r="F260" s="2">
        <v>15</v>
      </c>
      <c r="G260" s="2" t="str" cm="1">
        <f t="array" ref="G260">_xlfn.IFS(
F260&lt;50,"Small",
F260&lt;100,"Medium",
F260&lt;150,"Large",
F260&gt;=150,"Very Large"
)</f>
        <v>Small</v>
      </c>
      <c r="H260" s="2" t="s">
        <v>33</v>
      </c>
      <c r="I260" s="2">
        <v>48.504773</v>
      </c>
      <c r="J260" s="2">
        <v>20.536543000000002</v>
      </c>
      <c r="K260" s="2" t="str">
        <f t="shared" si="17"/>
        <v>Available</v>
      </c>
      <c r="L260" s="2" t="s">
        <v>10</v>
      </c>
      <c r="M260" s="3">
        <v>45368</v>
      </c>
      <c r="N260" s="3" t="str">
        <f t="shared" si="18"/>
        <v>March</v>
      </c>
      <c r="O260" s="2" t="s">
        <v>6</v>
      </c>
      <c r="P260" t="str">
        <f t="shared" si="19"/>
        <v>OK</v>
      </c>
    </row>
    <row r="261" spans="1:16" x14ac:dyDescent="0.3">
      <c r="A261" s="2">
        <f t="shared" si="16"/>
        <v>260</v>
      </c>
      <c r="B261" s="2" t="s">
        <v>30</v>
      </c>
      <c r="C261" s="2" t="s">
        <v>4</v>
      </c>
      <c r="D261" s="1">
        <v>0.6</v>
      </c>
      <c r="E261" s="1" t="str" cm="1">
        <f t="array" ref="E261">_xlfn.IFS(
D261&lt;20,"Light",
D261&lt;50,"Medium",
D261&lt;100,"Heavy",
D261&gt;=100,"Very Heavy")</f>
        <v>Light</v>
      </c>
      <c r="F261" s="2">
        <v>15</v>
      </c>
      <c r="G261" s="2" t="str" cm="1">
        <f t="array" ref="G261">_xlfn.IFS(
F261&lt;50,"Small",
F261&lt;100,"Medium",
F261&lt;150,"Large",
F261&gt;=150,"Very Large"
)</f>
        <v>Small</v>
      </c>
      <c r="H261" s="2" t="s">
        <v>33</v>
      </c>
      <c r="I261" s="2">
        <v>52.214745000000001</v>
      </c>
      <c r="J261" s="2">
        <v>21.033701000000001</v>
      </c>
      <c r="K261" s="2" t="str">
        <f t="shared" si="17"/>
        <v>Available</v>
      </c>
      <c r="L261" s="2" t="s">
        <v>10</v>
      </c>
      <c r="M261" s="3">
        <v>45368</v>
      </c>
      <c r="N261" s="3" t="str">
        <f t="shared" si="18"/>
        <v>March</v>
      </c>
      <c r="O261" s="2" t="s">
        <v>6</v>
      </c>
      <c r="P261" t="str">
        <f t="shared" si="19"/>
        <v>OK</v>
      </c>
    </row>
    <row r="262" spans="1:16" x14ac:dyDescent="0.3">
      <c r="A262" s="2">
        <f t="shared" si="16"/>
        <v>261</v>
      </c>
      <c r="B262" s="2" t="s">
        <v>29</v>
      </c>
      <c r="C262" s="2" t="s">
        <v>7</v>
      </c>
      <c r="D262" s="1">
        <v>0.27800000000000002</v>
      </c>
      <c r="E262" s="1" t="str" cm="1">
        <f t="array" ref="E262">_xlfn.IFS(
D262&lt;20,"Light",
D262&lt;50,"Medium",
D262&lt;100,"Heavy",
D262&gt;=100,"Very Heavy")</f>
        <v>Light</v>
      </c>
      <c r="F262" s="2">
        <v>21</v>
      </c>
      <c r="G262" s="2" t="str" cm="1">
        <f t="array" ref="G262">_xlfn.IFS(
F262&lt;50,"Small",
F262&lt;100,"Medium",
F262&lt;150,"Large",
F262&gt;=150,"Very Large"
)</f>
        <v>Small</v>
      </c>
      <c r="H262" s="2" t="s">
        <v>33</v>
      </c>
      <c r="I262" s="2">
        <v>47.510303999999998</v>
      </c>
      <c r="J262" s="2">
        <v>18.942924999999999</v>
      </c>
      <c r="K262" s="2" t="str">
        <f t="shared" si="17"/>
        <v>Available</v>
      </c>
      <c r="L262" s="2" t="s">
        <v>10</v>
      </c>
      <c r="M262" s="3">
        <v>45368</v>
      </c>
      <c r="N262" s="3" t="str">
        <f t="shared" si="18"/>
        <v>March</v>
      </c>
      <c r="O262" s="2" t="s">
        <v>6</v>
      </c>
      <c r="P262" t="str">
        <f t="shared" si="19"/>
        <v>OK</v>
      </c>
    </row>
    <row r="263" spans="1:16" x14ac:dyDescent="0.3">
      <c r="A263" s="2">
        <f t="shared" si="16"/>
        <v>262</v>
      </c>
      <c r="B263" s="2" t="s">
        <v>29</v>
      </c>
      <c r="C263" s="2" t="s">
        <v>13</v>
      </c>
      <c r="D263" s="1">
        <v>0.32200000000000001</v>
      </c>
      <c r="E263" s="1" t="str" cm="1">
        <f t="array" ref="E263">_xlfn.IFS(
D263&lt;20,"Light",
D263&lt;50,"Medium",
D263&lt;100,"Heavy",
D263&gt;=100,"Very Heavy")</f>
        <v>Light</v>
      </c>
      <c r="F263" s="2">
        <v>23</v>
      </c>
      <c r="G263" s="2" t="str" cm="1">
        <f t="array" ref="G263">_xlfn.IFS(
F263&lt;50,"Small",
F263&lt;100,"Medium",
F263&lt;150,"Large",
F263&gt;=150,"Very Large"
)</f>
        <v>Small</v>
      </c>
      <c r="H263" s="2" t="s">
        <v>33</v>
      </c>
      <c r="I263" s="2">
        <v>49.056857000000001</v>
      </c>
      <c r="J263" s="2">
        <v>22.416369</v>
      </c>
      <c r="K263" s="2" t="str">
        <f t="shared" si="17"/>
        <v>Available</v>
      </c>
      <c r="L263" s="2" t="s">
        <v>10</v>
      </c>
      <c r="M263" s="3">
        <v>45368</v>
      </c>
      <c r="N263" s="3" t="str">
        <f t="shared" si="18"/>
        <v>March</v>
      </c>
      <c r="O263" s="2" t="s">
        <v>14</v>
      </c>
      <c r="P263" t="str">
        <f t="shared" si="19"/>
        <v>OK</v>
      </c>
    </row>
    <row r="264" spans="1:16" x14ac:dyDescent="0.3">
      <c r="A264" s="2">
        <f t="shared" si="16"/>
        <v>263</v>
      </c>
      <c r="B264" s="2" t="s">
        <v>29</v>
      </c>
      <c r="C264" s="2" t="s">
        <v>13</v>
      </c>
      <c r="D264" s="1">
        <v>0.30199999999999999</v>
      </c>
      <c r="E264" s="1" t="str" cm="1">
        <f t="array" ref="E264">_xlfn.IFS(
D264&lt;20,"Light",
D264&lt;50,"Medium",
D264&lt;100,"Heavy",
D264&gt;=100,"Very Heavy")</f>
        <v>Light</v>
      </c>
      <c r="F264" s="2">
        <v>23</v>
      </c>
      <c r="G264" s="2" t="str" cm="1">
        <f t="array" ref="G264">_xlfn.IFS(
F264&lt;50,"Small",
F264&lt;100,"Medium",
F264&lt;150,"Large",
F264&gt;=150,"Very Large"
)</f>
        <v>Small</v>
      </c>
      <c r="H264" s="2" t="s">
        <v>32</v>
      </c>
      <c r="I264" s="2">
        <v>48.412370000000003</v>
      </c>
      <c r="J264" s="2">
        <v>18.875325</v>
      </c>
      <c r="K264" s="2" t="str">
        <f t="shared" si="17"/>
        <v>Available</v>
      </c>
      <c r="L264" s="2" t="s">
        <v>10</v>
      </c>
      <c r="M264" s="3">
        <v>45368</v>
      </c>
      <c r="N264" s="3" t="str">
        <f t="shared" si="18"/>
        <v>March</v>
      </c>
      <c r="O264" s="2" t="s">
        <v>14</v>
      </c>
      <c r="P264" t="str">
        <f t="shared" si="19"/>
        <v>OK</v>
      </c>
    </row>
    <row r="265" spans="1:16" x14ac:dyDescent="0.3">
      <c r="A265" s="2">
        <f t="shared" si="16"/>
        <v>264</v>
      </c>
      <c r="B265" s="2" t="s">
        <v>29</v>
      </c>
      <c r="C265" s="2" t="s">
        <v>13</v>
      </c>
      <c r="D265" s="1">
        <v>0.33400000000000002</v>
      </c>
      <c r="E265" s="1" t="str" cm="1">
        <f t="array" ref="E265">_xlfn.IFS(
D265&lt;20,"Light",
D265&lt;50,"Medium",
D265&lt;100,"Heavy",
D265&gt;=100,"Very Heavy")</f>
        <v>Light</v>
      </c>
      <c r="F265" s="2">
        <v>20</v>
      </c>
      <c r="G265" s="2" t="str" cm="1">
        <f t="array" ref="G265">_xlfn.IFS(
F265&lt;50,"Small",
F265&lt;100,"Medium",
F265&lt;150,"Large",
F265&gt;=150,"Very Large"
)</f>
        <v>Small</v>
      </c>
      <c r="H265" s="2" t="s">
        <v>33</v>
      </c>
      <c r="I265" s="2">
        <v>48.406982999999997</v>
      </c>
      <c r="J265" s="2">
        <v>18.863197</v>
      </c>
      <c r="K265" s="2" t="str">
        <f t="shared" si="17"/>
        <v>Available</v>
      </c>
      <c r="L265" s="2" t="s">
        <v>10</v>
      </c>
      <c r="M265" s="3">
        <v>45368</v>
      </c>
      <c r="N265" s="3" t="str">
        <f t="shared" si="18"/>
        <v>March</v>
      </c>
      <c r="O265" s="2" t="s">
        <v>14</v>
      </c>
      <c r="P265" t="str">
        <f t="shared" si="19"/>
        <v>OK</v>
      </c>
    </row>
    <row r="266" spans="1:16" x14ac:dyDescent="0.3">
      <c r="A266" s="2">
        <f t="shared" si="16"/>
        <v>265</v>
      </c>
      <c r="B266" s="2" t="s">
        <v>29</v>
      </c>
      <c r="C266" s="2" t="s">
        <v>13</v>
      </c>
      <c r="D266" s="1">
        <v>0.28000000000000003</v>
      </c>
      <c r="E266" s="1" t="str" cm="1">
        <f t="array" ref="E266">_xlfn.IFS(
D266&lt;20,"Light",
D266&lt;50,"Medium",
D266&lt;100,"Heavy",
D266&gt;=100,"Very Heavy")</f>
        <v>Light</v>
      </c>
      <c r="F266" s="2">
        <v>19</v>
      </c>
      <c r="G266" s="2" t="str" cm="1">
        <f t="array" ref="G266">_xlfn.IFS(
F266&lt;50,"Small",
F266&lt;100,"Medium",
F266&lt;150,"Large",
F266&gt;=150,"Very Large"
)</f>
        <v>Small</v>
      </c>
      <c r="H266" s="2" t="s">
        <v>32</v>
      </c>
      <c r="I266" s="2">
        <v>48.411485999999996</v>
      </c>
      <c r="J266" s="2">
        <v>18.867730000000002</v>
      </c>
      <c r="K266" s="2" t="str">
        <f t="shared" si="17"/>
        <v>Available</v>
      </c>
      <c r="L266" s="2" t="s">
        <v>10</v>
      </c>
      <c r="M266" s="3">
        <v>45368</v>
      </c>
      <c r="N266" s="3" t="str">
        <f t="shared" si="18"/>
        <v>March</v>
      </c>
      <c r="O266" s="2" t="s">
        <v>14</v>
      </c>
      <c r="P266" t="str">
        <f t="shared" si="19"/>
        <v>OK</v>
      </c>
    </row>
    <row r="267" spans="1:16" x14ac:dyDescent="0.3">
      <c r="A267" s="2">
        <f t="shared" si="16"/>
        <v>266</v>
      </c>
      <c r="B267" s="2" t="s">
        <v>29</v>
      </c>
      <c r="C267" s="2" t="s">
        <v>13</v>
      </c>
      <c r="D267" s="1">
        <v>0.28899999999999998</v>
      </c>
      <c r="E267" s="1" t="str" cm="1">
        <f t="array" ref="E267">_xlfn.IFS(
D267&lt;20,"Light",
D267&lt;50,"Medium",
D267&lt;100,"Heavy",
D267&gt;=100,"Very Heavy")</f>
        <v>Light</v>
      </c>
      <c r="F267" s="2">
        <v>18</v>
      </c>
      <c r="G267" s="2" t="str" cm="1">
        <f t="array" ref="G267">_xlfn.IFS(
F267&lt;50,"Small",
F267&lt;100,"Medium",
F267&lt;150,"Large",
F267&gt;=150,"Very Large"
)</f>
        <v>Small</v>
      </c>
      <c r="H267" s="2" t="s">
        <v>32</v>
      </c>
      <c r="I267" s="2">
        <v>48.410536</v>
      </c>
      <c r="J267" s="2">
        <v>18.870325000000001</v>
      </c>
      <c r="K267" s="2" t="str">
        <f t="shared" si="17"/>
        <v>Available</v>
      </c>
      <c r="L267" s="2" t="s">
        <v>10</v>
      </c>
      <c r="M267" s="3">
        <v>45368</v>
      </c>
      <c r="N267" s="3" t="str">
        <f t="shared" si="18"/>
        <v>March</v>
      </c>
      <c r="O267" s="2" t="s">
        <v>14</v>
      </c>
      <c r="P267" t="str">
        <f t="shared" si="19"/>
        <v>OK</v>
      </c>
    </row>
    <row r="268" spans="1:16" x14ac:dyDescent="0.3">
      <c r="A268" s="2">
        <f t="shared" si="16"/>
        <v>267</v>
      </c>
      <c r="B268" s="2" t="s">
        <v>27</v>
      </c>
      <c r="C268" s="2" t="s">
        <v>4</v>
      </c>
      <c r="D268" s="1">
        <v>537</v>
      </c>
      <c r="E268" s="1" t="str" cm="1">
        <f t="array" ref="E268">_xlfn.IFS(
D268&lt;20,"Light",
D268&lt;50,"Medium",
D268&lt;100,"Heavy",
D268&gt;=100,"Very Heavy")</f>
        <v>Very Heavy</v>
      </c>
      <c r="F268" s="2">
        <v>287</v>
      </c>
      <c r="G268" s="2" t="str" cm="1">
        <f t="array" ref="G268">_xlfn.IFS(
F268&lt;50,"Small",
F268&lt;100,"Medium",
F268&lt;150,"Large",
F268&gt;=150,"Very Large"
)</f>
        <v>Very Large</v>
      </c>
      <c r="H268" s="2" t="s">
        <v>33</v>
      </c>
      <c r="I268" s="2">
        <v>52.825499999999998</v>
      </c>
      <c r="J268" s="2">
        <v>23.808385999999999</v>
      </c>
      <c r="K268" s="2" t="str">
        <f t="shared" si="17"/>
        <v>Available</v>
      </c>
      <c r="L268" s="2" t="s">
        <v>10</v>
      </c>
      <c r="M268" s="3">
        <v>45369</v>
      </c>
      <c r="N268" s="3" t="str">
        <f t="shared" si="18"/>
        <v>March</v>
      </c>
      <c r="O268" s="2" t="s">
        <v>6</v>
      </c>
      <c r="P268" t="str">
        <f t="shared" si="19"/>
        <v>OK</v>
      </c>
    </row>
    <row r="269" spans="1:16" x14ac:dyDescent="0.3">
      <c r="A269" s="2">
        <f t="shared" si="16"/>
        <v>268</v>
      </c>
      <c r="B269" s="2" t="s">
        <v>29</v>
      </c>
      <c r="C269" s="2" t="s">
        <v>4</v>
      </c>
      <c r="D269" s="1">
        <v>0.34599999999999997</v>
      </c>
      <c r="E269" s="1" t="str" cm="1">
        <f t="array" ref="E269">_xlfn.IFS(
D269&lt;20,"Light",
D269&lt;50,"Medium",
D269&lt;100,"Heavy",
D269&gt;=100,"Very Heavy")</f>
        <v>Light</v>
      </c>
      <c r="F269" s="2">
        <v>23</v>
      </c>
      <c r="G269" s="2" t="str" cm="1">
        <f t="array" ref="G269">_xlfn.IFS(
F269&lt;50,"Small",
F269&lt;100,"Medium",
F269&lt;150,"Large",
F269&gt;=150,"Very Large"
)</f>
        <v>Small</v>
      </c>
      <c r="H269" s="2" t="s">
        <v>32</v>
      </c>
      <c r="I269" s="2">
        <v>52.240737000000003</v>
      </c>
      <c r="J269" s="2">
        <v>21.053063000000002</v>
      </c>
      <c r="K269" s="2" t="str">
        <f t="shared" si="17"/>
        <v>Available</v>
      </c>
      <c r="L269" s="2" t="s">
        <v>10</v>
      </c>
      <c r="M269" s="3">
        <v>45369</v>
      </c>
      <c r="N269" s="3" t="str">
        <f t="shared" si="18"/>
        <v>March</v>
      </c>
      <c r="O269" s="2" t="s">
        <v>6</v>
      </c>
      <c r="P269" t="str">
        <f t="shared" si="19"/>
        <v>OK</v>
      </c>
    </row>
    <row r="270" spans="1:16" x14ac:dyDescent="0.3">
      <c r="A270" s="2">
        <f t="shared" si="16"/>
        <v>269</v>
      </c>
      <c r="B270" s="2" t="s">
        <v>30</v>
      </c>
      <c r="C270" s="2" t="s">
        <v>15</v>
      </c>
      <c r="D270" s="1">
        <v>1.2</v>
      </c>
      <c r="E270" s="1" t="str" cm="1">
        <f t="array" ref="E270">_xlfn.IFS(
D270&lt;20,"Light",
D270&lt;50,"Medium",
D270&lt;100,"Heavy",
D270&gt;=100,"Very Heavy")</f>
        <v>Light</v>
      </c>
      <c r="F270" s="2">
        <v>26</v>
      </c>
      <c r="G270" s="2" t="str" cm="1">
        <f t="array" ref="G270">_xlfn.IFS(
F270&lt;50,"Small",
F270&lt;100,"Medium",
F270&lt;150,"Large",
F270&gt;=150,"Very Large"
)</f>
        <v>Small</v>
      </c>
      <c r="H270" s="2" t="s">
        <v>32</v>
      </c>
      <c r="I270" s="2">
        <v>49.938547</v>
      </c>
      <c r="J270" s="2">
        <v>14.180402000000001</v>
      </c>
      <c r="K270" s="2" t="str">
        <f t="shared" si="17"/>
        <v>Available</v>
      </c>
      <c r="L270" s="2" t="s">
        <v>10</v>
      </c>
      <c r="M270" s="3">
        <v>45369</v>
      </c>
      <c r="N270" s="3" t="str">
        <f t="shared" si="18"/>
        <v>March</v>
      </c>
      <c r="O270" s="2" t="s">
        <v>14</v>
      </c>
      <c r="P270" t="str">
        <f t="shared" si="19"/>
        <v>OK</v>
      </c>
    </row>
    <row r="271" spans="1:16" x14ac:dyDescent="0.3">
      <c r="A271" s="2">
        <f t="shared" si="16"/>
        <v>270</v>
      </c>
      <c r="B271" s="2" t="s">
        <v>30</v>
      </c>
      <c r="C271" s="2" t="s">
        <v>15</v>
      </c>
      <c r="D271" s="1">
        <v>0.9</v>
      </c>
      <c r="E271" s="1" t="str" cm="1">
        <f t="array" ref="E271">_xlfn.IFS(
D271&lt;20,"Light",
D271&lt;50,"Medium",
D271&lt;100,"Heavy",
D271&gt;=100,"Very Heavy")</f>
        <v>Light</v>
      </c>
      <c r="F271" s="2">
        <v>17</v>
      </c>
      <c r="G271" s="2" t="str" cm="1">
        <f t="array" ref="G271">_xlfn.IFS(
F271&lt;50,"Small",
F271&lt;100,"Medium",
F271&lt;150,"Large",
F271&gt;=150,"Very Large"
)</f>
        <v>Small</v>
      </c>
      <c r="H271" s="2" t="s">
        <v>32</v>
      </c>
      <c r="I271" s="2">
        <v>49.937429000000002</v>
      </c>
      <c r="J271" s="2">
        <v>14.182639999999999</v>
      </c>
      <c r="K271" s="2" t="str">
        <f t="shared" si="17"/>
        <v>Available</v>
      </c>
      <c r="L271" s="2" t="s">
        <v>10</v>
      </c>
      <c r="M271" s="3">
        <v>45369</v>
      </c>
      <c r="N271" s="3" t="str">
        <f t="shared" si="18"/>
        <v>March</v>
      </c>
      <c r="O271" s="2" t="s">
        <v>14</v>
      </c>
      <c r="P271" t="str">
        <f t="shared" si="19"/>
        <v>OK</v>
      </c>
    </row>
    <row r="272" spans="1:16" x14ac:dyDescent="0.3">
      <c r="A272" s="2">
        <f t="shared" si="16"/>
        <v>271</v>
      </c>
      <c r="B272" s="2" t="s">
        <v>29</v>
      </c>
      <c r="C272" s="2" t="s">
        <v>15</v>
      </c>
      <c r="D272" s="1">
        <v>0.32</v>
      </c>
      <c r="E272" s="1" t="str" cm="1">
        <f t="array" ref="E272">_xlfn.IFS(
D272&lt;20,"Light",
D272&lt;50,"Medium",
D272&lt;100,"Heavy",
D272&gt;=100,"Very Heavy")</f>
        <v>Light</v>
      </c>
      <c r="F272" s="2">
        <v>18</v>
      </c>
      <c r="G272" s="2" t="str" cm="1">
        <f t="array" ref="G272">_xlfn.IFS(
F272&lt;50,"Small",
F272&lt;100,"Medium",
F272&lt;150,"Large",
F272&gt;=150,"Very Large"
)</f>
        <v>Small</v>
      </c>
      <c r="H272" s="2" t="s">
        <v>33</v>
      </c>
      <c r="I272" s="2">
        <v>49.938634</v>
      </c>
      <c r="J272" s="2">
        <v>14.179739</v>
      </c>
      <c r="K272" s="2" t="str">
        <f t="shared" si="17"/>
        <v>Available</v>
      </c>
      <c r="L272" s="2" t="s">
        <v>10</v>
      </c>
      <c r="M272" s="3">
        <v>45369</v>
      </c>
      <c r="N272" s="3" t="str">
        <f t="shared" si="18"/>
        <v>March</v>
      </c>
      <c r="O272" s="2" t="s">
        <v>14</v>
      </c>
      <c r="P272" t="str">
        <f t="shared" si="19"/>
        <v>OK</v>
      </c>
    </row>
    <row r="273" spans="1:16" x14ac:dyDescent="0.3">
      <c r="A273" s="2">
        <f t="shared" si="16"/>
        <v>272</v>
      </c>
      <c r="B273" s="2" t="s">
        <v>29</v>
      </c>
      <c r="C273" s="2" t="s">
        <v>15</v>
      </c>
      <c r="D273" s="1">
        <v>0.26600000000000001</v>
      </c>
      <c r="E273" s="1" t="str" cm="1">
        <f t="array" ref="E273">_xlfn.IFS(
D273&lt;20,"Light",
D273&lt;50,"Medium",
D273&lt;100,"Heavy",
D273&gt;=100,"Very Heavy")</f>
        <v>Light</v>
      </c>
      <c r="F273" s="2">
        <v>17</v>
      </c>
      <c r="G273" s="2" t="str" cm="1">
        <f t="array" ref="G273">_xlfn.IFS(
F273&lt;50,"Small",
F273&lt;100,"Medium",
F273&lt;150,"Large",
F273&gt;=150,"Very Large"
)</f>
        <v>Small</v>
      </c>
      <c r="H273" s="2" t="s">
        <v>32</v>
      </c>
      <c r="I273" s="2">
        <v>49.939062</v>
      </c>
      <c r="J273" s="2">
        <v>14.177939</v>
      </c>
      <c r="K273" s="2" t="str">
        <f t="shared" si="17"/>
        <v>Available</v>
      </c>
      <c r="L273" s="2" t="s">
        <v>10</v>
      </c>
      <c r="M273" s="3">
        <v>45369</v>
      </c>
      <c r="N273" s="3" t="str">
        <f t="shared" si="18"/>
        <v>March</v>
      </c>
      <c r="O273" s="2" t="s">
        <v>14</v>
      </c>
      <c r="P273" t="str">
        <f t="shared" si="19"/>
        <v>OK</v>
      </c>
    </row>
    <row r="274" spans="1:16" x14ac:dyDescent="0.3">
      <c r="A274" s="2">
        <f t="shared" si="16"/>
        <v>273</v>
      </c>
      <c r="B274" s="2" t="s">
        <v>30</v>
      </c>
      <c r="C274" s="2" t="s">
        <v>7</v>
      </c>
      <c r="D274" s="1">
        <v>1.1000000000000001</v>
      </c>
      <c r="E274" s="1" t="str" cm="1">
        <f t="array" ref="E274">_xlfn.IFS(
D274&lt;20,"Light",
D274&lt;50,"Medium",
D274&lt;100,"Heavy",
D274&gt;=100,"Very Heavy")</f>
        <v>Light</v>
      </c>
      <c r="F274" s="2">
        <v>19</v>
      </c>
      <c r="G274" s="2" t="str" cm="1">
        <f t="array" ref="G274">_xlfn.IFS(
F274&lt;50,"Small",
F274&lt;100,"Medium",
F274&lt;150,"Large",
F274&gt;=150,"Very Large"
)</f>
        <v>Small</v>
      </c>
      <c r="H274" s="2" t="s">
        <v>33</v>
      </c>
      <c r="I274" s="2">
        <v>48.502512000000003</v>
      </c>
      <c r="J274" s="2">
        <v>20.563331000000002</v>
      </c>
      <c r="K274" s="2" t="str">
        <f t="shared" si="17"/>
        <v>Available</v>
      </c>
      <c r="L274" s="2" t="s">
        <v>10</v>
      </c>
      <c r="M274" s="3">
        <v>45370</v>
      </c>
      <c r="N274" s="3" t="str">
        <f t="shared" si="18"/>
        <v>March</v>
      </c>
      <c r="O274" s="2" t="s">
        <v>6</v>
      </c>
      <c r="P274" t="str">
        <f t="shared" si="19"/>
        <v>OK</v>
      </c>
    </row>
    <row r="275" spans="1:16" x14ac:dyDescent="0.3">
      <c r="A275" s="2">
        <f t="shared" si="16"/>
        <v>274</v>
      </c>
      <c r="B275" s="2" t="s">
        <v>30</v>
      </c>
      <c r="C275" s="2" t="s">
        <v>4</v>
      </c>
      <c r="D275" s="1">
        <v>0.4</v>
      </c>
      <c r="E275" s="1" t="str" cm="1">
        <f t="array" ref="E275">_xlfn.IFS(
D275&lt;20,"Light",
D275&lt;50,"Medium",
D275&lt;100,"Heavy",
D275&gt;=100,"Very Heavy")</f>
        <v>Light</v>
      </c>
      <c r="F275" s="2">
        <v>16</v>
      </c>
      <c r="G275" s="2" t="str" cm="1">
        <f t="array" ref="G275">_xlfn.IFS(
F275&lt;50,"Small",
F275&lt;100,"Medium",
F275&lt;150,"Large",
F275&gt;=150,"Very Large"
)</f>
        <v>Small</v>
      </c>
      <c r="H275" s="2" t="s">
        <v>32</v>
      </c>
      <c r="I275" s="2">
        <v>52.214758000000003</v>
      </c>
      <c r="J275" s="2">
        <v>21.030697</v>
      </c>
      <c r="K275" s="2" t="str">
        <f t="shared" si="17"/>
        <v>Available</v>
      </c>
      <c r="L275" s="2" t="s">
        <v>10</v>
      </c>
      <c r="M275" s="3">
        <v>45370</v>
      </c>
      <c r="N275" s="3" t="str">
        <f t="shared" si="18"/>
        <v>March</v>
      </c>
      <c r="O275" s="2" t="s">
        <v>6</v>
      </c>
      <c r="P275" t="str">
        <f t="shared" si="19"/>
        <v>OK</v>
      </c>
    </row>
    <row r="276" spans="1:16" x14ac:dyDescent="0.3">
      <c r="A276" s="2">
        <f t="shared" si="16"/>
        <v>275</v>
      </c>
      <c r="B276" s="2" t="s">
        <v>30</v>
      </c>
      <c r="C276" s="2" t="s">
        <v>17</v>
      </c>
      <c r="D276" s="1">
        <v>1.1000000000000001</v>
      </c>
      <c r="E276" s="1" t="str" cm="1">
        <f t="array" ref="E276">_xlfn.IFS(
D276&lt;20,"Light",
D276&lt;50,"Medium",
D276&lt;100,"Heavy",
D276&gt;=100,"Very Heavy")</f>
        <v>Light</v>
      </c>
      <c r="F276" s="2">
        <v>21</v>
      </c>
      <c r="G276" s="2" t="str" cm="1">
        <f t="array" ref="G276">_xlfn.IFS(
F276&lt;50,"Small",
F276&lt;100,"Medium",
F276&lt;150,"Large",
F276&gt;=150,"Very Large"
)</f>
        <v>Small</v>
      </c>
      <c r="H276" s="2" t="s">
        <v>33</v>
      </c>
      <c r="I276" s="2">
        <v>47.781211999999996</v>
      </c>
      <c r="J276" s="2">
        <v>14.384017</v>
      </c>
      <c r="K276" s="2" t="str">
        <f t="shared" si="17"/>
        <v>Available</v>
      </c>
      <c r="L276" s="2" t="s">
        <v>10</v>
      </c>
      <c r="M276" s="3">
        <v>45370</v>
      </c>
      <c r="N276" s="3" t="str">
        <f t="shared" si="18"/>
        <v>March</v>
      </c>
      <c r="O276" s="2" t="s">
        <v>12</v>
      </c>
      <c r="P276" t="str">
        <f t="shared" si="19"/>
        <v>OK</v>
      </c>
    </row>
    <row r="277" spans="1:16" x14ac:dyDescent="0.3">
      <c r="A277" s="2">
        <f t="shared" si="16"/>
        <v>276</v>
      </c>
      <c r="B277" s="2" t="s">
        <v>30</v>
      </c>
      <c r="C277" s="2" t="s">
        <v>17</v>
      </c>
      <c r="D277" s="1">
        <v>0.7</v>
      </c>
      <c r="E277" s="1" t="str" cm="1">
        <f t="array" ref="E277">_xlfn.IFS(
D277&lt;20,"Light",
D277&lt;50,"Medium",
D277&lt;100,"Heavy",
D277&gt;=100,"Very Heavy")</f>
        <v>Light</v>
      </c>
      <c r="F277" s="2">
        <v>25</v>
      </c>
      <c r="G277" s="2" t="str" cm="1">
        <f t="array" ref="G277">_xlfn.IFS(
F277&lt;50,"Small",
F277&lt;100,"Medium",
F277&lt;150,"Large",
F277&gt;=150,"Very Large"
)</f>
        <v>Small</v>
      </c>
      <c r="H277" s="2" t="s">
        <v>32</v>
      </c>
      <c r="I277" s="2">
        <v>47.781764000000003</v>
      </c>
      <c r="J277" s="2">
        <v>14.383279999999999</v>
      </c>
      <c r="K277" s="2" t="str">
        <f t="shared" si="17"/>
        <v>Available</v>
      </c>
      <c r="L277" s="2" t="s">
        <v>10</v>
      </c>
      <c r="M277" s="3">
        <v>45370</v>
      </c>
      <c r="N277" s="3" t="str">
        <f t="shared" si="18"/>
        <v>March</v>
      </c>
      <c r="O277" s="2" t="s">
        <v>12</v>
      </c>
      <c r="P277" t="str">
        <f t="shared" si="19"/>
        <v>OK</v>
      </c>
    </row>
    <row r="278" spans="1:16" x14ac:dyDescent="0.3">
      <c r="A278" s="2">
        <f t="shared" si="16"/>
        <v>277</v>
      </c>
      <c r="B278" s="2" t="s">
        <v>30</v>
      </c>
      <c r="C278" s="2" t="s">
        <v>17</v>
      </c>
      <c r="D278" s="1">
        <v>1.1000000000000001</v>
      </c>
      <c r="E278" s="1" t="str" cm="1">
        <f t="array" ref="E278">_xlfn.IFS(
D278&lt;20,"Light",
D278&lt;50,"Medium",
D278&lt;100,"Heavy",
D278&gt;=100,"Very Heavy")</f>
        <v>Light</v>
      </c>
      <c r="F278" s="2">
        <v>24</v>
      </c>
      <c r="G278" s="2" t="str" cm="1">
        <f t="array" ref="G278">_xlfn.IFS(
F278&lt;50,"Small",
F278&lt;100,"Medium",
F278&lt;150,"Large",
F278&gt;=150,"Very Large"
)</f>
        <v>Small</v>
      </c>
      <c r="H278" s="2" t="s">
        <v>32</v>
      </c>
      <c r="I278" s="2">
        <v>47.781883000000001</v>
      </c>
      <c r="J278" s="2">
        <v>14.382628</v>
      </c>
      <c r="K278" s="2" t="str">
        <f t="shared" si="17"/>
        <v>Available</v>
      </c>
      <c r="L278" s="2" t="s">
        <v>10</v>
      </c>
      <c r="M278" s="3">
        <v>45370</v>
      </c>
      <c r="N278" s="3" t="str">
        <f t="shared" si="18"/>
        <v>March</v>
      </c>
      <c r="O278" s="2" t="s">
        <v>12</v>
      </c>
      <c r="P278" t="str">
        <f t="shared" si="19"/>
        <v>OK</v>
      </c>
    </row>
    <row r="279" spans="1:16" x14ac:dyDescent="0.3">
      <c r="A279" s="2">
        <f t="shared" si="16"/>
        <v>278</v>
      </c>
      <c r="B279" s="2" t="s">
        <v>30</v>
      </c>
      <c r="C279" s="2" t="s">
        <v>17</v>
      </c>
      <c r="D279" s="1">
        <v>0.4</v>
      </c>
      <c r="E279" s="1" t="str" cm="1">
        <f t="array" ref="E279">_xlfn.IFS(
D279&lt;20,"Light",
D279&lt;50,"Medium",
D279&lt;100,"Heavy",
D279&gt;=100,"Very Heavy")</f>
        <v>Light</v>
      </c>
      <c r="F279" s="2">
        <v>21</v>
      </c>
      <c r="G279" s="2" t="str" cm="1">
        <f t="array" ref="G279">_xlfn.IFS(
F279&lt;50,"Small",
F279&lt;100,"Medium",
F279&lt;150,"Large",
F279&gt;=150,"Very Large"
)</f>
        <v>Small</v>
      </c>
      <c r="H279" s="2" t="s">
        <v>33</v>
      </c>
      <c r="I279" s="2">
        <v>47.781092999999998</v>
      </c>
      <c r="J279" s="2">
        <v>14.38209</v>
      </c>
      <c r="K279" s="2" t="str">
        <f t="shared" si="17"/>
        <v>Available</v>
      </c>
      <c r="L279" s="2" t="s">
        <v>10</v>
      </c>
      <c r="M279" s="3">
        <v>45370</v>
      </c>
      <c r="N279" s="3" t="str">
        <f t="shared" si="18"/>
        <v>March</v>
      </c>
      <c r="O279" s="2" t="s">
        <v>12</v>
      </c>
      <c r="P279" t="str">
        <f t="shared" si="19"/>
        <v>OK</v>
      </c>
    </row>
    <row r="280" spans="1:16" x14ac:dyDescent="0.3">
      <c r="A280" s="2">
        <f t="shared" si="16"/>
        <v>279</v>
      </c>
      <c r="B280" s="2" t="s">
        <v>30</v>
      </c>
      <c r="C280" s="2" t="s">
        <v>11</v>
      </c>
      <c r="D280" s="1">
        <v>0.8</v>
      </c>
      <c r="E280" s="1" t="str" cm="1">
        <f t="array" ref="E280">_xlfn.IFS(
D280&lt;20,"Light",
D280&lt;50,"Medium",
D280&lt;100,"Heavy",
D280&gt;=100,"Very Heavy")</f>
        <v>Light</v>
      </c>
      <c r="F280" s="2">
        <v>16</v>
      </c>
      <c r="G280" s="2" t="str" cm="1">
        <f t="array" ref="G280">_xlfn.IFS(
F280&lt;50,"Small",
F280&lt;100,"Medium",
F280&lt;150,"Large",
F280&gt;=150,"Very Large"
)</f>
        <v>Small</v>
      </c>
      <c r="H280" s="2" t="s">
        <v>32</v>
      </c>
      <c r="I280" s="2">
        <v>52.585957999999998</v>
      </c>
      <c r="J280" s="2">
        <v>13.147098</v>
      </c>
      <c r="K280" s="2" t="str">
        <f t="shared" si="17"/>
        <v>Available</v>
      </c>
      <c r="L280" s="2" t="s">
        <v>10</v>
      </c>
      <c r="M280" s="3">
        <v>45370</v>
      </c>
      <c r="N280" s="3" t="str">
        <f t="shared" si="18"/>
        <v>March</v>
      </c>
      <c r="O280" s="2" t="s">
        <v>12</v>
      </c>
      <c r="P280" t="str">
        <f t="shared" si="19"/>
        <v>OK</v>
      </c>
    </row>
    <row r="281" spans="1:16" x14ac:dyDescent="0.3">
      <c r="A281" s="2">
        <f t="shared" si="16"/>
        <v>280</v>
      </c>
      <c r="B281" s="2" t="s">
        <v>30</v>
      </c>
      <c r="C281" s="2" t="s">
        <v>11</v>
      </c>
      <c r="D281" s="1">
        <v>0.5</v>
      </c>
      <c r="E281" s="1" t="str" cm="1">
        <f t="array" ref="E281">_xlfn.IFS(
D281&lt;20,"Light",
D281&lt;50,"Medium",
D281&lt;100,"Heavy",
D281&gt;=100,"Very Heavy")</f>
        <v>Light</v>
      </c>
      <c r="F281" s="2">
        <v>18</v>
      </c>
      <c r="G281" s="2" t="str" cm="1">
        <f t="array" ref="G281">_xlfn.IFS(
F281&lt;50,"Small",
F281&lt;100,"Medium",
F281&lt;150,"Large",
F281&gt;=150,"Very Large"
)</f>
        <v>Small</v>
      </c>
      <c r="H281" s="2" t="s">
        <v>33</v>
      </c>
      <c r="I281" s="2">
        <v>52.586199000000001</v>
      </c>
      <c r="J281" s="2">
        <v>13.152793000000001</v>
      </c>
      <c r="K281" s="2" t="str">
        <f t="shared" si="17"/>
        <v>Available</v>
      </c>
      <c r="L281" s="2" t="s">
        <v>10</v>
      </c>
      <c r="M281" s="3">
        <v>45370</v>
      </c>
      <c r="N281" s="3" t="str">
        <f t="shared" si="18"/>
        <v>March</v>
      </c>
      <c r="O281" s="2" t="s">
        <v>12</v>
      </c>
      <c r="P281" t="str">
        <f t="shared" si="19"/>
        <v>OK</v>
      </c>
    </row>
    <row r="282" spans="1:16" x14ac:dyDescent="0.3">
      <c r="A282" s="2">
        <f t="shared" si="16"/>
        <v>281</v>
      </c>
      <c r="B282" s="2" t="s">
        <v>30</v>
      </c>
      <c r="C282" s="2" t="s">
        <v>11</v>
      </c>
      <c r="D282" s="1">
        <v>0.5</v>
      </c>
      <c r="E282" s="1" t="str" cm="1">
        <f t="array" ref="E282">_xlfn.IFS(
D282&lt;20,"Light",
D282&lt;50,"Medium",
D282&lt;100,"Heavy",
D282&gt;=100,"Very Heavy")</f>
        <v>Light</v>
      </c>
      <c r="F282" s="2">
        <v>18</v>
      </c>
      <c r="G282" s="2" t="str" cm="1">
        <f t="array" ref="G282">_xlfn.IFS(
F282&lt;50,"Small",
F282&lt;100,"Medium",
F282&lt;150,"Large",
F282&gt;=150,"Very Large"
)</f>
        <v>Small</v>
      </c>
      <c r="H282" s="2" t="s">
        <v>32</v>
      </c>
      <c r="I282" s="2">
        <v>52.586588999999996</v>
      </c>
      <c r="J282" s="2">
        <v>13.146651</v>
      </c>
      <c r="K282" s="2" t="str">
        <f t="shared" si="17"/>
        <v>Available</v>
      </c>
      <c r="L282" s="2" t="s">
        <v>10</v>
      </c>
      <c r="M282" s="3">
        <v>45370</v>
      </c>
      <c r="N282" s="3" t="str">
        <f t="shared" si="18"/>
        <v>March</v>
      </c>
      <c r="O282" s="2" t="s">
        <v>12</v>
      </c>
      <c r="P282" t="str">
        <f t="shared" si="19"/>
        <v>OK</v>
      </c>
    </row>
    <row r="283" spans="1:16" x14ac:dyDescent="0.3">
      <c r="A283" s="2">
        <f t="shared" si="16"/>
        <v>282</v>
      </c>
      <c r="B283" s="2" t="s">
        <v>30</v>
      </c>
      <c r="C283" s="2" t="s">
        <v>11</v>
      </c>
      <c r="D283" s="1">
        <v>0.4</v>
      </c>
      <c r="E283" s="1" t="str" cm="1">
        <f t="array" ref="E283">_xlfn.IFS(
D283&lt;20,"Light",
D283&lt;50,"Medium",
D283&lt;100,"Heavy",
D283&gt;=100,"Very Heavy")</f>
        <v>Light</v>
      </c>
      <c r="F283" s="2">
        <v>13</v>
      </c>
      <c r="G283" s="2" t="str" cm="1">
        <f t="array" ref="G283">_xlfn.IFS(
F283&lt;50,"Small",
F283&lt;100,"Medium",
F283&lt;150,"Large",
F283&gt;=150,"Very Large"
)</f>
        <v>Small</v>
      </c>
      <c r="H283" s="2" t="s">
        <v>33</v>
      </c>
      <c r="I283" s="2">
        <v>52.587327000000002</v>
      </c>
      <c r="J283" s="2">
        <v>13.149206</v>
      </c>
      <c r="K283" s="2" t="str">
        <f t="shared" si="17"/>
        <v>Available</v>
      </c>
      <c r="L283" s="2" t="s">
        <v>10</v>
      </c>
      <c r="M283" s="3">
        <v>45370</v>
      </c>
      <c r="N283" s="3" t="str">
        <f t="shared" si="18"/>
        <v>March</v>
      </c>
      <c r="O283" s="2" t="s">
        <v>12</v>
      </c>
      <c r="P283" t="str">
        <f t="shared" si="19"/>
        <v>OK</v>
      </c>
    </row>
    <row r="284" spans="1:16" x14ac:dyDescent="0.3">
      <c r="A284" s="2">
        <f t="shared" si="16"/>
        <v>283</v>
      </c>
      <c r="B284" s="2" t="s">
        <v>30</v>
      </c>
      <c r="C284" s="2" t="s">
        <v>11</v>
      </c>
      <c r="D284" s="1">
        <v>1</v>
      </c>
      <c r="E284" s="1" t="str" cm="1">
        <f t="array" ref="E284">_xlfn.IFS(
D284&lt;20,"Light",
D284&lt;50,"Medium",
D284&lt;100,"Heavy",
D284&gt;=100,"Very Heavy")</f>
        <v>Light</v>
      </c>
      <c r="F284" s="2">
        <v>21</v>
      </c>
      <c r="G284" s="2" t="str" cm="1">
        <f t="array" ref="G284">_xlfn.IFS(
F284&lt;50,"Small",
F284&lt;100,"Medium",
F284&lt;150,"Large",
F284&gt;=150,"Very Large"
)</f>
        <v>Small</v>
      </c>
      <c r="H284" s="2" t="s">
        <v>32</v>
      </c>
      <c r="I284" s="2">
        <v>52.585937000000001</v>
      </c>
      <c r="J284" s="2">
        <v>13.146151</v>
      </c>
      <c r="K284" s="2" t="str">
        <f t="shared" si="17"/>
        <v>Available</v>
      </c>
      <c r="L284" s="2" t="s">
        <v>10</v>
      </c>
      <c r="M284" s="3">
        <v>45370</v>
      </c>
      <c r="N284" s="3" t="str">
        <f t="shared" si="18"/>
        <v>March</v>
      </c>
      <c r="O284" s="2" t="s">
        <v>12</v>
      </c>
      <c r="P284" t="str">
        <f t="shared" si="19"/>
        <v>OK</v>
      </c>
    </row>
    <row r="285" spans="1:16" x14ac:dyDescent="0.3">
      <c r="A285" s="2">
        <f t="shared" si="16"/>
        <v>284</v>
      </c>
      <c r="B285" s="2" t="s">
        <v>30</v>
      </c>
      <c r="C285" s="2" t="s">
        <v>15</v>
      </c>
      <c r="D285" s="1">
        <v>1</v>
      </c>
      <c r="E285" s="1" t="str" cm="1">
        <f t="array" ref="E285">_xlfn.IFS(
D285&lt;20,"Light",
D285&lt;50,"Medium",
D285&lt;100,"Heavy",
D285&gt;=100,"Very Heavy")</f>
        <v>Light</v>
      </c>
      <c r="F285" s="2">
        <v>17</v>
      </c>
      <c r="G285" s="2" t="str" cm="1">
        <f t="array" ref="G285">_xlfn.IFS(
F285&lt;50,"Small",
F285&lt;100,"Medium",
F285&lt;150,"Large",
F285&gt;=150,"Very Large"
)</f>
        <v>Small</v>
      </c>
      <c r="H285" s="2" t="s">
        <v>33</v>
      </c>
      <c r="I285" s="2">
        <v>49.937696000000003</v>
      </c>
      <c r="J285" s="2">
        <v>14.182707000000001</v>
      </c>
      <c r="K285" s="2" t="str">
        <f t="shared" si="17"/>
        <v>Available</v>
      </c>
      <c r="L285" s="2" t="s">
        <v>10</v>
      </c>
      <c r="M285" s="3">
        <v>45370</v>
      </c>
      <c r="N285" s="3" t="str">
        <f t="shared" si="18"/>
        <v>March</v>
      </c>
      <c r="O285" s="2" t="s">
        <v>14</v>
      </c>
      <c r="P285" t="str">
        <f t="shared" si="19"/>
        <v>OK</v>
      </c>
    </row>
    <row r="286" spans="1:16" x14ac:dyDescent="0.3">
      <c r="A286" s="2">
        <f t="shared" si="16"/>
        <v>285</v>
      </c>
      <c r="B286" s="2" t="s">
        <v>28</v>
      </c>
      <c r="C286" s="2" t="s">
        <v>13</v>
      </c>
      <c r="D286" s="1">
        <v>16</v>
      </c>
      <c r="E286" s="1" t="str" cm="1">
        <f t="array" ref="E286">_xlfn.IFS(
D286&lt;20,"Light",
D286&lt;50,"Medium",
D286&lt;100,"Heavy",
D286&gt;=100,"Very Heavy")</f>
        <v>Light</v>
      </c>
      <c r="F286" s="2">
        <v>65</v>
      </c>
      <c r="G286" s="2" t="str" cm="1">
        <f t="array" ref="G286">_xlfn.IFS(
F286&lt;50,"Small",
F286&lt;100,"Medium",
F286&lt;150,"Large",
F286&gt;=150,"Very Large"
)</f>
        <v>Medium</v>
      </c>
      <c r="H286" s="2" t="s">
        <v>32</v>
      </c>
      <c r="I286" s="2">
        <v>48.405926000000001</v>
      </c>
      <c r="J286" s="2">
        <v>18.839219</v>
      </c>
      <c r="K286" s="2" t="str">
        <f t="shared" si="17"/>
        <v>Available</v>
      </c>
      <c r="L286" s="2" t="s">
        <v>10</v>
      </c>
      <c r="M286" s="3">
        <v>45370</v>
      </c>
      <c r="N286" s="3" t="str">
        <f t="shared" si="18"/>
        <v>March</v>
      </c>
      <c r="O286" s="2" t="s">
        <v>14</v>
      </c>
      <c r="P286" t="str">
        <f t="shared" si="19"/>
        <v>OK</v>
      </c>
    </row>
    <row r="287" spans="1:16" x14ac:dyDescent="0.3">
      <c r="A287" s="2">
        <f t="shared" si="16"/>
        <v>286</v>
      </c>
      <c r="B287" s="2" t="s">
        <v>29</v>
      </c>
      <c r="C287" s="2" t="s">
        <v>13</v>
      </c>
      <c r="D287" s="1">
        <v>0.33</v>
      </c>
      <c r="E287" s="1" t="str" cm="1">
        <f t="array" ref="E287">_xlfn.IFS(
D287&lt;20,"Light",
D287&lt;50,"Medium",
D287&lt;100,"Heavy",
D287&gt;=100,"Very Heavy")</f>
        <v>Light</v>
      </c>
      <c r="F287" s="2">
        <v>18</v>
      </c>
      <c r="G287" s="2" t="str" cm="1">
        <f t="array" ref="G287">_xlfn.IFS(
F287&lt;50,"Small",
F287&lt;100,"Medium",
F287&lt;150,"Large",
F287&gt;=150,"Very Large"
)</f>
        <v>Small</v>
      </c>
      <c r="H287" s="2" t="s">
        <v>10</v>
      </c>
      <c r="I287" s="2">
        <v>48.184756999999998</v>
      </c>
      <c r="J287" s="2">
        <v>17.082936</v>
      </c>
      <c r="K287" s="2" t="str">
        <f t="shared" si="17"/>
        <v>Available</v>
      </c>
      <c r="L287" s="2" t="s">
        <v>10</v>
      </c>
      <c r="M287" s="3">
        <v>45370</v>
      </c>
      <c r="N287" s="3" t="str">
        <f t="shared" si="18"/>
        <v>March</v>
      </c>
      <c r="O287" s="2" t="s">
        <v>14</v>
      </c>
      <c r="P287" t="str">
        <f t="shared" si="19"/>
        <v>OK</v>
      </c>
    </row>
    <row r="288" spans="1:16" x14ac:dyDescent="0.3">
      <c r="A288" s="2">
        <f t="shared" si="16"/>
        <v>287</v>
      </c>
      <c r="B288" s="2" t="s">
        <v>29</v>
      </c>
      <c r="C288" s="2" t="s">
        <v>13</v>
      </c>
      <c r="D288" s="1">
        <v>0.32300000000000001</v>
      </c>
      <c r="E288" s="1" t="str" cm="1">
        <f t="array" ref="E288">_xlfn.IFS(
D288&lt;20,"Light",
D288&lt;50,"Medium",
D288&lt;100,"Heavy",
D288&gt;=100,"Very Heavy")</f>
        <v>Light</v>
      </c>
      <c r="F288" s="2">
        <v>23</v>
      </c>
      <c r="G288" s="2" t="str" cm="1">
        <f t="array" ref="G288">_xlfn.IFS(
F288&lt;50,"Small",
F288&lt;100,"Medium",
F288&lt;150,"Large",
F288&gt;=150,"Very Large"
)</f>
        <v>Small</v>
      </c>
      <c r="H288" s="2" t="s">
        <v>33</v>
      </c>
      <c r="I288" s="2">
        <v>48.186767000000003</v>
      </c>
      <c r="J288" s="2">
        <v>17.089935000000001</v>
      </c>
      <c r="K288" s="2" t="str">
        <f t="shared" si="17"/>
        <v>Available</v>
      </c>
      <c r="L288" s="2" t="s">
        <v>10</v>
      </c>
      <c r="M288" s="3">
        <v>45370</v>
      </c>
      <c r="N288" s="3" t="str">
        <f t="shared" si="18"/>
        <v>March</v>
      </c>
      <c r="O288" s="2" t="s">
        <v>14</v>
      </c>
      <c r="P288" t="str">
        <f t="shared" si="19"/>
        <v>OK</v>
      </c>
    </row>
    <row r="289" spans="1:16" x14ac:dyDescent="0.3">
      <c r="A289" s="2">
        <f t="shared" si="16"/>
        <v>288</v>
      </c>
      <c r="B289" s="2" t="s">
        <v>30</v>
      </c>
      <c r="C289" s="2" t="s">
        <v>4</v>
      </c>
      <c r="D289" s="1">
        <v>0.4</v>
      </c>
      <c r="E289" s="1" t="str" cm="1">
        <f t="array" ref="E289">_xlfn.IFS(
D289&lt;20,"Light",
D289&lt;50,"Medium",
D289&lt;100,"Heavy",
D289&gt;=100,"Very Heavy")</f>
        <v>Light</v>
      </c>
      <c r="F289" s="2">
        <v>16</v>
      </c>
      <c r="G289" s="2" t="str" cm="1">
        <f t="array" ref="G289">_xlfn.IFS(
F289&lt;50,"Small",
F289&lt;100,"Medium",
F289&lt;150,"Large",
F289&gt;=150,"Very Large"
)</f>
        <v>Small</v>
      </c>
      <c r="H289" s="2" t="s">
        <v>33</v>
      </c>
      <c r="I289" s="2">
        <v>52.214753999999999</v>
      </c>
      <c r="J289" s="2">
        <v>21.034364</v>
      </c>
      <c r="K289" s="2" t="str">
        <f t="shared" si="17"/>
        <v>Available</v>
      </c>
      <c r="L289" s="2" t="s">
        <v>10</v>
      </c>
      <c r="M289" s="3">
        <v>45371</v>
      </c>
      <c r="N289" s="3" t="str">
        <f t="shared" si="18"/>
        <v>March</v>
      </c>
      <c r="O289" s="2" t="s">
        <v>6</v>
      </c>
      <c r="P289" t="str">
        <f t="shared" si="19"/>
        <v>OK</v>
      </c>
    </row>
    <row r="290" spans="1:16" x14ac:dyDescent="0.3">
      <c r="A290" s="2">
        <f t="shared" si="16"/>
        <v>289</v>
      </c>
      <c r="B290" s="2" t="s">
        <v>30</v>
      </c>
      <c r="C290" s="2" t="s">
        <v>4</v>
      </c>
      <c r="D290" s="1">
        <v>0.7</v>
      </c>
      <c r="E290" s="1" t="str" cm="1">
        <f t="array" ref="E290">_xlfn.IFS(
D290&lt;20,"Light",
D290&lt;50,"Medium",
D290&lt;100,"Heavy",
D290&gt;=100,"Very Heavy")</f>
        <v>Light</v>
      </c>
      <c r="F290" s="2">
        <v>26</v>
      </c>
      <c r="G290" s="2" t="str" cm="1">
        <f t="array" ref="G290">_xlfn.IFS(
F290&lt;50,"Small",
F290&lt;100,"Medium",
F290&lt;150,"Large",
F290&gt;=150,"Very Large"
)</f>
        <v>Small</v>
      </c>
      <c r="H290" s="2" t="s">
        <v>32</v>
      </c>
      <c r="I290" s="2">
        <v>52.215034000000003</v>
      </c>
      <c r="J290" s="2">
        <v>21.03303</v>
      </c>
      <c r="K290" s="2" t="str">
        <f t="shared" si="17"/>
        <v>Available</v>
      </c>
      <c r="L290" s="2" t="s">
        <v>10</v>
      </c>
      <c r="M290" s="3">
        <v>45371</v>
      </c>
      <c r="N290" s="3" t="str">
        <f t="shared" si="18"/>
        <v>March</v>
      </c>
      <c r="O290" s="2" t="s">
        <v>6</v>
      </c>
      <c r="P290" t="str">
        <f t="shared" si="19"/>
        <v>OK</v>
      </c>
    </row>
    <row r="291" spans="1:16" x14ac:dyDescent="0.3">
      <c r="A291" s="2">
        <f t="shared" si="16"/>
        <v>290</v>
      </c>
      <c r="B291" s="2" t="s">
        <v>29</v>
      </c>
      <c r="C291" s="2" t="s">
        <v>4</v>
      </c>
      <c r="D291" s="1">
        <v>0.35</v>
      </c>
      <c r="E291" s="1" t="str" cm="1">
        <f t="array" ref="E291">_xlfn.IFS(
D291&lt;20,"Light",
D291&lt;50,"Medium",
D291&lt;100,"Heavy",
D291&gt;=100,"Very Heavy")</f>
        <v>Light</v>
      </c>
      <c r="F291" s="2">
        <v>19</v>
      </c>
      <c r="G291" s="2" t="str" cm="1">
        <f t="array" ref="G291">_xlfn.IFS(
F291&lt;50,"Small",
F291&lt;100,"Medium",
F291&lt;150,"Large",
F291&gt;=150,"Very Large"
)</f>
        <v>Small</v>
      </c>
      <c r="H291" s="2" t="s">
        <v>33</v>
      </c>
      <c r="I291" s="2">
        <v>52.241636999999997</v>
      </c>
      <c r="J291" s="2">
        <v>21.051539999999999</v>
      </c>
      <c r="K291" s="2" t="str">
        <f t="shared" si="17"/>
        <v>Available</v>
      </c>
      <c r="L291" s="2" t="s">
        <v>10</v>
      </c>
      <c r="M291" s="3">
        <v>45371</v>
      </c>
      <c r="N291" s="3" t="str">
        <f t="shared" si="18"/>
        <v>March</v>
      </c>
      <c r="O291" s="2" t="s">
        <v>6</v>
      </c>
      <c r="P291" t="str">
        <f t="shared" si="19"/>
        <v>OK</v>
      </c>
    </row>
    <row r="292" spans="1:16" x14ac:dyDescent="0.3">
      <c r="A292" s="2">
        <f t="shared" si="16"/>
        <v>291</v>
      </c>
      <c r="B292" s="2" t="s">
        <v>29</v>
      </c>
      <c r="C292" s="2" t="s">
        <v>7</v>
      </c>
      <c r="D292" s="1">
        <v>0.28399999999999997</v>
      </c>
      <c r="E292" s="1" t="str" cm="1">
        <f t="array" ref="E292">_xlfn.IFS(
D292&lt;20,"Light",
D292&lt;50,"Medium",
D292&lt;100,"Heavy",
D292&gt;=100,"Very Heavy")</f>
        <v>Light</v>
      </c>
      <c r="F292" s="2">
        <v>18</v>
      </c>
      <c r="G292" s="2" t="str" cm="1">
        <f t="array" ref="G292">_xlfn.IFS(
F292&lt;50,"Small",
F292&lt;100,"Medium",
F292&lt;150,"Large",
F292&gt;=150,"Very Large"
)</f>
        <v>Small</v>
      </c>
      <c r="H292" s="2" t="s">
        <v>33</v>
      </c>
      <c r="I292" s="2">
        <v>47.505786000000001</v>
      </c>
      <c r="J292" s="2">
        <v>18.943124000000001</v>
      </c>
      <c r="K292" s="2" t="str">
        <f t="shared" si="17"/>
        <v>Available</v>
      </c>
      <c r="L292" s="2" t="s">
        <v>10</v>
      </c>
      <c r="M292" s="3">
        <v>45371</v>
      </c>
      <c r="N292" s="3" t="str">
        <f t="shared" si="18"/>
        <v>March</v>
      </c>
      <c r="O292" s="2" t="s">
        <v>6</v>
      </c>
      <c r="P292" t="str">
        <f t="shared" si="19"/>
        <v>OK</v>
      </c>
    </row>
    <row r="293" spans="1:16" x14ac:dyDescent="0.3">
      <c r="A293" s="2">
        <f t="shared" si="16"/>
        <v>292</v>
      </c>
      <c r="B293" s="2" t="s">
        <v>30</v>
      </c>
      <c r="C293" s="2" t="s">
        <v>15</v>
      </c>
      <c r="D293" s="1">
        <v>0.5</v>
      </c>
      <c r="E293" s="1" t="str" cm="1">
        <f t="array" ref="E293">_xlfn.IFS(
D293&lt;20,"Light",
D293&lt;50,"Medium",
D293&lt;100,"Heavy",
D293&gt;=100,"Very Heavy")</f>
        <v>Light</v>
      </c>
      <c r="F293" s="2">
        <v>13</v>
      </c>
      <c r="G293" s="2" t="str" cm="1">
        <f t="array" ref="G293">_xlfn.IFS(
F293&lt;50,"Small",
F293&lt;100,"Medium",
F293&lt;150,"Large",
F293&gt;=150,"Very Large"
)</f>
        <v>Small</v>
      </c>
      <c r="H293" s="2" t="s">
        <v>32</v>
      </c>
      <c r="I293" s="2">
        <v>49.937455</v>
      </c>
      <c r="J293" s="2">
        <v>14.180775000000001</v>
      </c>
      <c r="K293" s="2" t="str">
        <f t="shared" si="17"/>
        <v>Available</v>
      </c>
      <c r="L293" s="2" t="s">
        <v>10</v>
      </c>
      <c r="M293" s="3">
        <v>45371</v>
      </c>
      <c r="N293" s="3" t="str">
        <f t="shared" si="18"/>
        <v>March</v>
      </c>
      <c r="O293" s="2" t="s">
        <v>14</v>
      </c>
      <c r="P293" t="str">
        <f t="shared" si="19"/>
        <v>OK</v>
      </c>
    </row>
    <row r="294" spans="1:16" x14ac:dyDescent="0.3">
      <c r="A294" s="2">
        <f t="shared" si="16"/>
        <v>293</v>
      </c>
      <c r="B294" s="2" t="s">
        <v>28</v>
      </c>
      <c r="C294" s="2" t="s">
        <v>13</v>
      </c>
      <c r="D294" s="1">
        <v>17</v>
      </c>
      <c r="E294" s="1" t="str" cm="1">
        <f t="array" ref="E294">_xlfn.IFS(
D294&lt;20,"Light",
D294&lt;50,"Medium",
D294&lt;100,"Heavy",
D294&gt;=100,"Very Heavy")</f>
        <v>Light</v>
      </c>
      <c r="F294" s="2">
        <v>80</v>
      </c>
      <c r="G294" s="2" t="str" cm="1">
        <f t="array" ref="G294">_xlfn.IFS(
F294&lt;50,"Small",
F294&lt;100,"Medium",
F294&lt;150,"Large",
F294&gt;=150,"Very Large"
)</f>
        <v>Medium</v>
      </c>
      <c r="H294" s="2" t="s">
        <v>33</v>
      </c>
      <c r="I294" s="2">
        <v>48.407449</v>
      </c>
      <c r="J294" s="2">
        <v>18.850762</v>
      </c>
      <c r="K294" s="2" t="str">
        <f t="shared" si="17"/>
        <v>Available</v>
      </c>
      <c r="L294" s="2" t="s">
        <v>10</v>
      </c>
      <c r="M294" s="3">
        <v>45371</v>
      </c>
      <c r="N294" s="3" t="str">
        <f t="shared" si="18"/>
        <v>March</v>
      </c>
      <c r="O294" s="2" t="s">
        <v>14</v>
      </c>
      <c r="P294" t="str">
        <f t="shared" si="19"/>
        <v>OK</v>
      </c>
    </row>
    <row r="295" spans="1:16" x14ac:dyDescent="0.3">
      <c r="A295" s="2">
        <f t="shared" si="16"/>
        <v>294</v>
      </c>
      <c r="B295" s="2" t="s">
        <v>27</v>
      </c>
      <c r="C295" s="2" t="s">
        <v>4</v>
      </c>
      <c r="D295" s="1">
        <v>302</v>
      </c>
      <c r="E295" s="1" t="str" cm="1">
        <f t="array" ref="E295">_xlfn.IFS(
D295&lt;20,"Light",
D295&lt;50,"Medium",
D295&lt;100,"Heavy",
D295&gt;=100,"Very Heavy")</f>
        <v>Very Heavy</v>
      </c>
      <c r="F295" s="2">
        <v>150</v>
      </c>
      <c r="G295" s="2" t="str" cm="1">
        <f t="array" ref="G295">_xlfn.IFS(
F295&lt;50,"Small",
F295&lt;100,"Medium",
F295&lt;150,"Large",
F295&gt;=150,"Very Large"
)</f>
        <v>Very Large</v>
      </c>
      <c r="H295" s="2" t="s">
        <v>33</v>
      </c>
      <c r="I295" s="2">
        <v>52.820447000000001</v>
      </c>
      <c r="J295" s="2">
        <v>23.813258999999999</v>
      </c>
      <c r="K295" s="2" t="str">
        <f t="shared" si="17"/>
        <v>Available</v>
      </c>
      <c r="L295" s="2" t="s">
        <v>10</v>
      </c>
      <c r="M295" s="3">
        <v>45372</v>
      </c>
      <c r="N295" s="3" t="str">
        <f t="shared" si="18"/>
        <v>March</v>
      </c>
      <c r="O295" s="2" t="s">
        <v>6</v>
      </c>
      <c r="P295" t="str">
        <f t="shared" si="19"/>
        <v>OK</v>
      </c>
    </row>
    <row r="296" spans="1:16" x14ac:dyDescent="0.3">
      <c r="A296" s="2">
        <f t="shared" si="16"/>
        <v>295</v>
      </c>
      <c r="B296" s="2" t="s">
        <v>30</v>
      </c>
      <c r="C296" s="2" t="s">
        <v>7</v>
      </c>
      <c r="D296" s="1">
        <v>1.2</v>
      </c>
      <c r="E296" s="1" t="str" cm="1">
        <f t="array" ref="E296">_xlfn.IFS(
D296&lt;20,"Light",
D296&lt;50,"Medium",
D296&lt;100,"Heavy",
D296&gt;=100,"Very Heavy")</f>
        <v>Light</v>
      </c>
      <c r="F296" s="2">
        <v>29</v>
      </c>
      <c r="G296" s="2" t="str" cm="1">
        <f t="array" ref="G296">_xlfn.IFS(
F296&lt;50,"Small",
F296&lt;100,"Medium",
F296&lt;150,"Large",
F296&gt;=150,"Very Large"
)</f>
        <v>Small</v>
      </c>
      <c r="H296" s="2" t="s">
        <v>32</v>
      </c>
      <c r="I296" s="2">
        <v>48.503794999999997</v>
      </c>
      <c r="J296" s="2">
        <v>20.555931999999999</v>
      </c>
      <c r="K296" s="2" t="str">
        <f t="shared" si="17"/>
        <v>Available</v>
      </c>
      <c r="L296" s="2" t="s">
        <v>10</v>
      </c>
      <c r="M296" s="3">
        <v>45372</v>
      </c>
      <c r="N296" s="3" t="str">
        <f t="shared" si="18"/>
        <v>March</v>
      </c>
      <c r="O296" s="2" t="s">
        <v>6</v>
      </c>
      <c r="P296" t="str">
        <f t="shared" si="19"/>
        <v>OK</v>
      </c>
    </row>
    <row r="297" spans="1:16" x14ac:dyDescent="0.3">
      <c r="A297" s="2">
        <f t="shared" si="16"/>
        <v>296</v>
      </c>
      <c r="B297" s="2" t="s">
        <v>30</v>
      </c>
      <c r="C297" s="2" t="s">
        <v>4</v>
      </c>
      <c r="D297" s="1">
        <v>1.2</v>
      </c>
      <c r="E297" s="1" t="str" cm="1">
        <f t="array" ref="E297">_xlfn.IFS(
D297&lt;20,"Light",
D297&lt;50,"Medium",
D297&lt;100,"Heavy",
D297&gt;=100,"Very Heavy")</f>
        <v>Light</v>
      </c>
      <c r="F297" s="2">
        <v>25</v>
      </c>
      <c r="G297" s="2" t="str" cm="1">
        <f t="array" ref="G297">_xlfn.IFS(
F297&lt;50,"Small",
F297&lt;100,"Medium",
F297&lt;150,"Large",
F297&gt;=150,"Very Large"
)</f>
        <v>Small</v>
      </c>
      <c r="H297" s="2" t="s">
        <v>32</v>
      </c>
      <c r="I297" s="2">
        <v>52.214156000000003</v>
      </c>
      <c r="J297" s="2">
        <v>21.032499999999999</v>
      </c>
      <c r="K297" s="2" t="str">
        <f t="shared" si="17"/>
        <v>Available</v>
      </c>
      <c r="L297" s="2" t="s">
        <v>10</v>
      </c>
      <c r="M297" s="3">
        <v>45372</v>
      </c>
      <c r="N297" s="3" t="str">
        <f t="shared" si="18"/>
        <v>March</v>
      </c>
      <c r="O297" s="2" t="s">
        <v>6</v>
      </c>
      <c r="P297" t="str">
        <f t="shared" si="19"/>
        <v>OK</v>
      </c>
    </row>
    <row r="298" spans="1:16" x14ac:dyDescent="0.3">
      <c r="A298" s="2">
        <f t="shared" si="16"/>
        <v>297</v>
      </c>
      <c r="B298" s="2" t="s">
        <v>28</v>
      </c>
      <c r="C298" s="2" t="s">
        <v>4</v>
      </c>
      <c r="D298" s="1">
        <v>21.3333333333333</v>
      </c>
      <c r="E298" s="1" t="str" cm="1">
        <f t="array" ref="E298">_xlfn.IFS(
D298&lt;20,"Light",
D298&lt;50,"Medium",
D298&lt;100,"Heavy",
D298&gt;=100,"Very Heavy")</f>
        <v>Medium</v>
      </c>
      <c r="F298" s="2">
        <v>75</v>
      </c>
      <c r="G298" s="2" t="str" cm="1">
        <f t="array" ref="G298">_xlfn.IFS(
F298&lt;50,"Small",
F298&lt;100,"Medium",
F298&lt;150,"Large",
F298&gt;=150,"Very Large"
)</f>
        <v>Medium</v>
      </c>
      <c r="H298" s="2" t="s">
        <v>32</v>
      </c>
      <c r="I298" s="2">
        <v>52.831229</v>
      </c>
      <c r="J298" s="2">
        <v>23.814122999999999</v>
      </c>
      <c r="K298" s="2" t="str">
        <f t="shared" si="17"/>
        <v>Available</v>
      </c>
      <c r="L298" s="2" t="s">
        <v>10</v>
      </c>
      <c r="M298" s="3">
        <v>45372</v>
      </c>
      <c r="N298" s="3" t="str">
        <f t="shared" si="18"/>
        <v>March</v>
      </c>
      <c r="O298" s="2" t="s">
        <v>6</v>
      </c>
      <c r="P298" t="str">
        <f t="shared" si="19"/>
        <v>OK</v>
      </c>
    </row>
    <row r="299" spans="1:16" x14ac:dyDescent="0.3">
      <c r="A299" s="2">
        <f t="shared" si="16"/>
        <v>298</v>
      </c>
      <c r="B299" s="2" t="s">
        <v>28</v>
      </c>
      <c r="C299" s="2" t="s">
        <v>4</v>
      </c>
      <c r="D299" s="1">
        <v>18</v>
      </c>
      <c r="E299" s="1" t="str" cm="1">
        <f t="array" ref="E299">_xlfn.IFS(
D299&lt;20,"Light",
D299&lt;50,"Medium",
D299&lt;100,"Heavy",
D299&gt;=100,"Very Heavy")</f>
        <v>Light</v>
      </c>
      <c r="F299" s="2">
        <v>73</v>
      </c>
      <c r="G299" s="2" t="str" cm="1">
        <f t="array" ref="G299">_xlfn.IFS(
F299&lt;50,"Small",
F299&lt;100,"Medium",
F299&lt;150,"Large",
F299&gt;=150,"Very Large"
)</f>
        <v>Medium</v>
      </c>
      <c r="H299" s="2" t="s">
        <v>33</v>
      </c>
      <c r="I299" s="2">
        <v>52.832726000000001</v>
      </c>
      <c r="J299" s="2">
        <v>23.825032</v>
      </c>
      <c r="K299" s="2" t="str">
        <f t="shared" si="17"/>
        <v>Available</v>
      </c>
      <c r="L299" s="2" t="s">
        <v>10</v>
      </c>
      <c r="M299" s="3">
        <v>45372</v>
      </c>
      <c r="N299" s="3" t="str">
        <f t="shared" si="18"/>
        <v>March</v>
      </c>
      <c r="O299" s="2" t="s">
        <v>6</v>
      </c>
      <c r="P299" t="str">
        <f t="shared" si="19"/>
        <v>OK</v>
      </c>
    </row>
    <row r="300" spans="1:16" x14ac:dyDescent="0.3">
      <c r="A300" s="2">
        <f t="shared" si="16"/>
        <v>299</v>
      </c>
      <c r="B300" s="2" t="s">
        <v>29</v>
      </c>
      <c r="C300" s="2" t="s">
        <v>4</v>
      </c>
      <c r="D300" s="1">
        <v>0.33</v>
      </c>
      <c r="E300" s="1" t="str" cm="1">
        <f t="array" ref="E300">_xlfn.IFS(
D300&lt;20,"Light",
D300&lt;50,"Medium",
D300&lt;100,"Heavy",
D300&gt;=100,"Very Heavy")</f>
        <v>Light</v>
      </c>
      <c r="F300" s="2">
        <v>23</v>
      </c>
      <c r="G300" s="2" t="str" cm="1">
        <f t="array" ref="G300">_xlfn.IFS(
F300&lt;50,"Small",
F300&lt;100,"Medium",
F300&lt;150,"Large",
F300&gt;=150,"Very Large"
)</f>
        <v>Small</v>
      </c>
      <c r="H300" s="2" t="s">
        <v>32</v>
      </c>
      <c r="I300" s="2">
        <v>50.041479000000002</v>
      </c>
      <c r="J300" s="2">
        <v>19.951211000000001</v>
      </c>
      <c r="K300" s="2" t="str">
        <f t="shared" si="17"/>
        <v>Available</v>
      </c>
      <c r="L300" s="2" t="s">
        <v>10</v>
      </c>
      <c r="M300" s="3">
        <v>45372</v>
      </c>
      <c r="N300" s="3" t="str">
        <f t="shared" si="18"/>
        <v>March</v>
      </c>
      <c r="O300" s="2" t="s">
        <v>6</v>
      </c>
      <c r="P300" t="str">
        <f t="shared" si="19"/>
        <v>OK</v>
      </c>
    </row>
    <row r="301" spans="1:16" x14ac:dyDescent="0.3">
      <c r="A301" s="2">
        <f t="shared" si="16"/>
        <v>300</v>
      </c>
      <c r="B301" s="2" t="s">
        <v>29</v>
      </c>
      <c r="C301" s="2" t="s">
        <v>4</v>
      </c>
      <c r="D301" s="1">
        <v>0.297366504854368</v>
      </c>
      <c r="E301" s="1" t="str" cm="1">
        <f t="array" ref="E301">_xlfn.IFS(
D301&lt;20,"Light",
D301&lt;50,"Medium",
D301&lt;100,"Heavy",
D301&gt;=100,"Very Heavy")</f>
        <v>Light</v>
      </c>
      <c r="F301" s="2">
        <v>20.418848167539199</v>
      </c>
      <c r="G301" s="2" t="str" cm="1">
        <f t="array" ref="G301">_xlfn.IFS(
F301&lt;50,"Small",
F301&lt;100,"Medium",
F301&lt;150,"Large",
F301&gt;=150,"Very Large"
)</f>
        <v>Small</v>
      </c>
      <c r="H301" s="2" t="s">
        <v>32</v>
      </c>
      <c r="I301" s="2">
        <v>50.041153999999999</v>
      </c>
      <c r="J301" s="2">
        <v>19.949919000000001</v>
      </c>
      <c r="K301" s="2" t="str">
        <f t="shared" si="17"/>
        <v>Available</v>
      </c>
      <c r="L301" s="2" t="s">
        <v>10</v>
      </c>
      <c r="M301" s="3">
        <v>45372</v>
      </c>
      <c r="N301" s="3" t="str">
        <f t="shared" si="18"/>
        <v>March</v>
      </c>
      <c r="O301" s="2" t="s">
        <v>6</v>
      </c>
      <c r="P301" t="str">
        <f t="shared" si="19"/>
        <v>OK</v>
      </c>
    </row>
    <row r="302" spans="1:16" x14ac:dyDescent="0.3">
      <c r="A302" s="2">
        <f t="shared" si="16"/>
        <v>301</v>
      </c>
      <c r="B302" s="2" t="s">
        <v>29</v>
      </c>
      <c r="C302" s="2" t="s">
        <v>7</v>
      </c>
      <c r="D302" s="1">
        <v>0.315</v>
      </c>
      <c r="E302" s="1" t="str" cm="1">
        <f t="array" ref="E302">_xlfn.IFS(
D302&lt;20,"Light",
D302&lt;50,"Medium",
D302&lt;100,"Heavy",
D302&gt;=100,"Very Heavy")</f>
        <v>Light</v>
      </c>
      <c r="F302" s="2">
        <v>19</v>
      </c>
      <c r="G302" s="2" t="str" cm="1">
        <f t="array" ref="G302">_xlfn.IFS(
F302&lt;50,"Small",
F302&lt;100,"Medium",
F302&lt;150,"Large",
F302&gt;=150,"Very Large"
)</f>
        <v>Small</v>
      </c>
      <c r="H302" s="2" t="s">
        <v>32</v>
      </c>
      <c r="I302" s="2">
        <v>47.506413999999999</v>
      </c>
      <c r="J302" s="2">
        <v>18.941655000000001</v>
      </c>
      <c r="K302" s="2" t="str">
        <f t="shared" si="17"/>
        <v>Available</v>
      </c>
      <c r="L302" s="2" t="s">
        <v>10</v>
      </c>
      <c r="M302" s="3">
        <v>45372</v>
      </c>
      <c r="N302" s="3" t="str">
        <f t="shared" si="18"/>
        <v>March</v>
      </c>
      <c r="O302" s="2" t="s">
        <v>6</v>
      </c>
      <c r="P302" t="str">
        <f t="shared" si="19"/>
        <v>OK</v>
      </c>
    </row>
    <row r="303" spans="1:16" x14ac:dyDescent="0.3">
      <c r="A303" s="2">
        <f t="shared" si="16"/>
        <v>302</v>
      </c>
      <c r="B303" s="2" t="s">
        <v>30</v>
      </c>
      <c r="C303" s="2" t="s">
        <v>17</v>
      </c>
      <c r="D303" s="1">
        <v>0.8</v>
      </c>
      <c r="E303" s="1" t="str" cm="1">
        <f t="array" ref="E303">_xlfn.IFS(
D303&lt;20,"Light",
D303&lt;50,"Medium",
D303&lt;100,"Heavy",
D303&gt;=100,"Very Heavy")</f>
        <v>Light</v>
      </c>
      <c r="F303" s="2">
        <v>24</v>
      </c>
      <c r="G303" s="2" t="str" cm="1">
        <f t="array" ref="G303">_xlfn.IFS(
F303&lt;50,"Small",
F303&lt;100,"Medium",
F303&lt;150,"Large",
F303&gt;=150,"Very Large"
)</f>
        <v>Small</v>
      </c>
      <c r="H303" s="2" t="s">
        <v>32</v>
      </c>
      <c r="I303" s="2">
        <v>47.781236</v>
      </c>
      <c r="J303" s="2">
        <v>14.382218999999999</v>
      </c>
      <c r="K303" s="2" t="str">
        <f t="shared" si="17"/>
        <v>Available</v>
      </c>
      <c r="L303" s="2" t="s">
        <v>10</v>
      </c>
      <c r="M303" s="3">
        <v>45372</v>
      </c>
      <c r="N303" s="3" t="str">
        <f t="shared" si="18"/>
        <v>March</v>
      </c>
      <c r="O303" s="2" t="s">
        <v>12</v>
      </c>
      <c r="P303" t="str">
        <f t="shared" si="19"/>
        <v>OK</v>
      </c>
    </row>
    <row r="304" spans="1:16" x14ac:dyDescent="0.3">
      <c r="A304" s="2">
        <f t="shared" si="16"/>
        <v>303</v>
      </c>
      <c r="B304" s="2" t="s">
        <v>30</v>
      </c>
      <c r="C304" s="2" t="s">
        <v>17</v>
      </c>
      <c r="D304" s="1">
        <v>0.6</v>
      </c>
      <c r="E304" s="1" t="str" cm="1">
        <f t="array" ref="E304">_xlfn.IFS(
D304&lt;20,"Light",
D304&lt;50,"Medium",
D304&lt;100,"Heavy",
D304&gt;=100,"Very Heavy")</f>
        <v>Light</v>
      </c>
      <c r="F304" s="2">
        <v>14</v>
      </c>
      <c r="G304" s="2" t="str" cm="1">
        <f t="array" ref="G304">_xlfn.IFS(
F304&lt;50,"Small",
F304&lt;100,"Medium",
F304&lt;150,"Large",
F304&gt;=150,"Very Large"
)</f>
        <v>Small</v>
      </c>
      <c r="H304" s="2" t="s">
        <v>33</v>
      </c>
      <c r="I304" s="2">
        <v>47.781247999999998</v>
      </c>
      <c r="J304" s="2">
        <v>14.382649000000001</v>
      </c>
      <c r="K304" s="2" t="str">
        <f t="shared" si="17"/>
        <v>Available</v>
      </c>
      <c r="L304" s="2" t="s">
        <v>10</v>
      </c>
      <c r="M304" s="3">
        <v>45372</v>
      </c>
      <c r="N304" s="3" t="str">
        <f t="shared" si="18"/>
        <v>March</v>
      </c>
      <c r="O304" s="2" t="s">
        <v>12</v>
      </c>
      <c r="P304" t="str">
        <f t="shared" si="19"/>
        <v>OK</v>
      </c>
    </row>
    <row r="305" spans="1:16" x14ac:dyDescent="0.3">
      <c r="A305" s="2">
        <f t="shared" si="16"/>
        <v>304</v>
      </c>
      <c r="B305" s="2" t="s">
        <v>30</v>
      </c>
      <c r="C305" s="2" t="s">
        <v>11</v>
      </c>
      <c r="D305" s="1">
        <v>1.1000000000000001</v>
      </c>
      <c r="E305" s="1" t="str" cm="1">
        <f t="array" ref="E305">_xlfn.IFS(
D305&lt;20,"Light",
D305&lt;50,"Medium",
D305&lt;100,"Heavy",
D305&gt;=100,"Very Heavy")</f>
        <v>Light</v>
      </c>
      <c r="F305" s="2">
        <v>21</v>
      </c>
      <c r="G305" s="2" t="str" cm="1">
        <f t="array" ref="G305">_xlfn.IFS(
F305&lt;50,"Small",
F305&lt;100,"Medium",
F305&lt;150,"Large",
F305&gt;=150,"Very Large"
)</f>
        <v>Small</v>
      </c>
      <c r="H305" s="2" t="s">
        <v>32</v>
      </c>
      <c r="I305" s="2">
        <v>52.585628</v>
      </c>
      <c r="J305" s="2">
        <v>13.149093000000001</v>
      </c>
      <c r="K305" s="2" t="str">
        <f t="shared" si="17"/>
        <v>Available</v>
      </c>
      <c r="L305" s="2" t="s">
        <v>10</v>
      </c>
      <c r="M305" s="3">
        <v>45372</v>
      </c>
      <c r="N305" s="3" t="str">
        <f t="shared" si="18"/>
        <v>March</v>
      </c>
      <c r="O305" s="2" t="s">
        <v>12</v>
      </c>
      <c r="P305" t="str">
        <f t="shared" si="19"/>
        <v>OK</v>
      </c>
    </row>
    <row r="306" spans="1:16" x14ac:dyDescent="0.3">
      <c r="A306" s="2">
        <f t="shared" si="16"/>
        <v>305</v>
      </c>
      <c r="B306" s="2" t="s">
        <v>30</v>
      </c>
      <c r="C306" s="2" t="s">
        <v>11</v>
      </c>
      <c r="D306" s="1">
        <v>1.1000000000000001</v>
      </c>
      <c r="E306" s="1" t="str" cm="1">
        <f t="array" ref="E306">_xlfn.IFS(
D306&lt;20,"Light",
D306&lt;50,"Medium",
D306&lt;100,"Heavy",
D306&gt;=100,"Very Heavy")</f>
        <v>Light</v>
      </c>
      <c r="F306" s="2">
        <v>22</v>
      </c>
      <c r="G306" s="2" t="str" cm="1">
        <f t="array" ref="G306">_xlfn.IFS(
F306&lt;50,"Small",
F306&lt;100,"Medium",
F306&lt;150,"Large",
F306&gt;=150,"Very Large"
)</f>
        <v>Small</v>
      </c>
      <c r="H306" s="2" t="s">
        <v>33</v>
      </c>
      <c r="I306" s="2">
        <v>52.583289999999998</v>
      </c>
      <c r="J306" s="2">
        <v>13.149155</v>
      </c>
      <c r="K306" s="2" t="str">
        <f t="shared" si="17"/>
        <v>Available</v>
      </c>
      <c r="L306" s="2" t="s">
        <v>10</v>
      </c>
      <c r="M306" s="3">
        <v>45372</v>
      </c>
      <c r="N306" s="3" t="str">
        <f t="shared" si="18"/>
        <v>March</v>
      </c>
      <c r="O306" s="2" t="s">
        <v>12</v>
      </c>
      <c r="P306" t="str">
        <f t="shared" si="19"/>
        <v>OK</v>
      </c>
    </row>
    <row r="307" spans="1:16" x14ac:dyDescent="0.3">
      <c r="A307" s="2">
        <f t="shared" si="16"/>
        <v>306</v>
      </c>
      <c r="B307" s="2" t="s">
        <v>28</v>
      </c>
      <c r="C307" s="2" t="s">
        <v>17</v>
      </c>
      <c r="D307" s="1">
        <v>20</v>
      </c>
      <c r="E307" s="1" t="str" cm="1">
        <f t="array" ref="E307">_xlfn.IFS(
D307&lt;20,"Light",
D307&lt;50,"Medium",
D307&lt;100,"Heavy",
D307&gt;=100,"Very Heavy")</f>
        <v>Medium</v>
      </c>
      <c r="F307" s="2">
        <v>74</v>
      </c>
      <c r="G307" s="2" t="str" cm="1">
        <f t="array" ref="G307">_xlfn.IFS(
F307&lt;50,"Small",
F307&lt;100,"Medium",
F307&lt;150,"Large",
F307&gt;=150,"Very Large"
)</f>
        <v>Medium</v>
      </c>
      <c r="H307" s="2" t="s">
        <v>33</v>
      </c>
      <c r="I307" s="2">
        <v>47.781106000000001</v>
      </c>
      <c r="J307" s="2">
        <v>14.382184000000001</v>
      </c>
      <c r="K307" s="2" t="str">
        <f t="shared" si="17"/>
        <v>Available</v>
      </c>
      <c r="L307" s="2" t="s">
        <v>10</v>
      </c>
      <c r="M307" s="3">
        <v>45372</v>
      </c>
      <c r="N307" s="3" t="str">
        <f t="shared" si="18"/>
        <v>March</v>
      </c>
      <c r="O307" s="2" t="s">
        <v>12</v>
      </c>
      <c r="P307" t="str">
        <f t="shared" si="19"/>
        <v>OK</v>
      </c>
    </row>
    <row r="308" spans="1:16" x14ac:dyDescent="0.3">
      <c r="A308" s="2">
        <f t="shared" si="16"/>
        <v>307</v>
      </c>
      <c r="B308" s="2" t="s">
        <v>29</v>
      </c>
      <c r="C308" s="2" t="s">
        <v>11</v>
      </c>
      <c r="D308" s="1">
        <v>0.32300000000000001</v>
      </c>
      <c r="E308" s="1" t="str" cm="1">
        <f t="array" ref="E308">_xlfn.IFS(
D308&lt;20,"Light",
D308&lt;50,"Medium",
D308&lt;100,"Heavy",
D308&gt;=100,"Very Heavy")</f>
        <v>Light</v>
      </c>
      <c r="F308" s="2">
        <v>20</v>
      </c>
      <c r="G308" s="2" t="str" cm="1">
        <f t="array" ref="G308">_xlfn.IFS(
F308&lt;50,"Small",
F308&lt;100,"Medium",
F308&lt;150,"Large",
F308&gt;=150,"Very Large"
)</f>
        <v>Small</v>
      </c>
      <c r="H308" s="2" t="s">
        <v>32</v>
      </c>
      <c r="I308" s="2">
        <v>52.581896</v>
      </c>
      <c r="J308" s="2">
        <v>13.151801000000001</v>
      </c>
      <c r="K308" s="2" t="str">
        <f t="shared" si="17"/>
        <v>Available</v>
      </c>
      <c r="L308" s="2" t="s">
        <v>10</v>
      </c>
      <c r="M308" s="3">
        <v>45372</v>
      </c>
      <c r="N308" s="3" t="str">
        <f t="shared" si="18"/>
        <v>March</v>
      </c>
      <c r="O308" s="2" t="s">
        <v>12</v>
      </c>
      <c r="P308" t="str">
        <f t="shared" si="19"/>
        <v>OK</v>
      </c>
    </row>
    <row r="309" spans="1:16" x14ac:dyDescent="0.3">
      <c r="A309" s="2">
        <f t="shared" si="16"/>
        <v>308</v>
      </c>
      <c r="B309" s="2" t="s">
        <v>29</v>
      </c>
      <c r="C309" s="2" t="s">
        <v>11</v>
      </c>
      <c r="D309" s="1">
        <v>0.27600000000000002</v>
      </c>
      <c r="E309" s="1" t="str" cm="1">
        <f t="array" ref="E309">_xlfn.IFS(
D309&lt;20,"Light",
D309&lt;50,"Medium",
D309&lt;100,"Heavy",
D309&gt;=100,"Very Heavy")</f>
        <v>Light</v>
      </c>
      <c r="F309" s="2">
        <v>21</v>
      </c>
      <c r="G309" s="2" t="str" cm="1">
        <f t="array" ref="G309">_xlfn.IFS(
F309&lt;50,"Small",
F309&lt;100,"Medium",
F309&lt;150,"Large",
F309&gt;=150,"Very Large"
)</f>
        <v>Small</v>
      </c>
      <c r="H309" s="2" t="s">
        <v>33</v>
      </c>
      <c r="I309" s="2">
        <v>52.581885</v>
      </c>
      <c r="J309" s="2">
        <v>13.152811</v>
      </c>
      <c r="K309" s="2" t="str">
        <f t="shared" si="17"/>
        <v>Available</v>
      </c>
      <c r="L309" s="2" t="s">
        <v>10</v>
      </c>
      <c r="M309" s="3">
        <v>45372</v>
      </c>
      <c r="N309" s="3" t="str">
        <f t="shared" si="18"/>
        <v>March</v>
      </c>
      <c r="O309" s="2" t="s">
        <v>12</v>
      </c>
      <c r="P309" t="str">
        <f t="shared" si="19"/>
        <v>OK</v>
      </c>
    </row>
    <row r="310" spans="1:16" x14ac:dyDescent="0.3">
      <c r="A310" s="2">
        <f t="shared" si="16"/>
        <v>309</v>
      </c>
      <c r="B310" s="2" t="s">
        <v>29</v>
      </c>
      <c r="C310" s="2" t="s">
        <v>11</v>
      </c>
      <c r="D310" s="1">
        <v>0.33900000000000002</v>
      </c>
      <c r="E310" s="1" t="str" cm="1">
        <f t="array" ref="E310">_xlfn.IFS(
D310&lt;20,"Light",
D310&lt;50,"Medium",
D310&lt;100,"Heavy",
D310&gt;=100,"Very Heavy")</f>
        <v>Light</v>
      </c>
      <c r="F310" s="2">
        <v>21</v>
      </c>
      <c r="G310" s="2" t="str" cm="1">
        <f t="array" ref="G310">_xlfn.IFS(
F310&lt;50,"Small",
F310&lt;100,"Medium",
F310&lt;150,"Large",
F310&gt;=150,"Very Large"
)</f>
        <v>Small</v>
      </c>
      <c r="H310" s="2" t="s">
        <v>32</v>
      </c>
      <c r="I310" s="2">
        <v>52.587248000000002</v>
      </c>
      <c r="J310" s="2">
        <v>13.151498999999999</v>
      </c>
      <c r="K310" s="2" t="str">
        <f t="shared" si="17"/>
        <v>Available</v>
      </c>
      <c r="L310" s="2" t="s">
        <v>10</v>
      </c>
      <c r="M310" s="3">
        <v>45372</v>
      </c>
      <c r="N310" s="3" t="str">
        <f t="shared" si="18"/>
        <v>March</v>
      </c>
      <c r="O310" s="2" t="s">
        <v>12</v>
      </c>
      <c r="P310" t="str">
        <f t="shared" si="19"/>
        <v>OK</v>
      </c>
    </row>
    <row r="311" spans="1:16" x14ac:dyDescent="0.3">
      <c r="A311" s="2">
        <f t="shared" si="16"/>
        <v>310</v>
      </c>
      <c r="B311" s="2" t="s">
        <v>29</v>
      </c>
      <c r="C311" s="2" t="s">
        <v>11</v>
      </c>
      <c r="D311" s="1">
        <v>0.34</v>
      </c>
      <c r="E311" s="1" t="str" cm="1">
        <f t="array" ref="E311">_xlfn.IFS(
D311&lt;20,"Light",
D311&lt;50,"Medium",
D311&lt;100,"Heavy",
D311&gt;=100,"Very Heavy")</f>
        <v>Light</v>
      </c>
      <c r="F311" s="2">
        <v>19</v>
      </c>
      <c r="G311" s="2" t="str" cm="1">
        <f t="array" ref="G311">_xlfn.IFS(
F311&lt;50,"Small",
F311&lt;100,"Medium",
F311&lt;150,"Large",
F311&gt;=150,"Very Large"
)</f>
        <v>Small</v>
      </c>
      <c r="H311" s="2" t="s">
        <v>33</v>
      </c>
      <c r="I311" s="2">
        <v>52.582369999999997</v>
      </c>
      <c r="J311" s="2">
        <v>13.146855</v>
      </c>
      <c r="K311" s="2" t="str">
        <f t="shared" si="17"/>
        <v>Available</v>
      </c>
      <c r="L311" s="2" t="s">
        <v>10</v>
      </c>
      <c r="M311" s="3">
        <v>45372</v>
      </c>
      <c r="N311" s="3" t="str">
        <f t="shared" si="18"/>
        <v>March</v>
      </c>
      <c r="O311" s="2" t="s">
        <v>12</v>
      </c>
      <c r="P311" t="str">
        <f t="shared" si="19"/>
        <v>OK</v>
      </c>
    </row>
    <row r="312" spans="1:16" x14ac:dyDescent="0.3">
      <c r="A312" s="2">
        <f t="shared" si="16"/>
        <v>311</v>
      </c>
      <c r="B312" s="2" t="s">
        <v>27</v>
      </c>
      <c r="C312" s="2" t="s">
        <v>15</v>
      </c>
      <c r="D312" s="1">
        <v>750</v>
      </c>
      <c r="E312" s="1" t="str" cm="1">
        <f t="array" ref="E312">_xlfn.IFS(
D312&lt;20,"Light",
D312&lt;50,"Medium",
D312&lt;100,"Heavy",
D312&gt;=100,"Very Heavy")</f>
        <v>Very Heavy</v>
      </c>
      <c r="F312" s="2">
        <v>242</v>
      </c>
      <c r="G312" s="2" t="str" cm="1">
        <f t="array" ref="G312">_xlfn.IFS(
F312&lt;50,"Small",
F312&lt;100,"Medium",
F312&lt;150,"Large",
F312&gt;=150,"Very Large"
)</f>
        <v>Very Large</v>
      </c>
      <c r="H312" s="2" t="s">
        <v>32</v>
      </c>
      <c r="I312" s="2">
        <v>50.638137</v>
      </c>
      <c r="J312" s="2">
        <v>14.838129</v>
      </c>
      <c r="K312" s="2" t="str">
        <f t="shared" si="17"/>
        <v>Available</v>
      </c>
      <c r="L312" s="2" t="s">
        <v>10</v>
      </c>
      <c r="M312" s="3">
        <v>45372</v>
      </c>
      <c r="N312" s="3" t="str">
        <f t="shared" si="18"/>
        <v>March</v>
      </c>
      <c r="O312" s="2" t="s">
        <v>14</v>
      </c>
      <c r="P312" t="str">
        <f t="shared" si="19"/>
        <v>OK</v>
      </c>
    </row>
    <row r="313" spans="1:16" x14ac:dyDescent="0.3">
      <c r="A313" s="2">
        <f t="shared" si="16"/>
        <v>312</v>
      </c>
      <c r="B313" s="2" t="s">
        <v>27</v>
      </c>
      <c r="C313" s="2" t="s">
        <v>15</v>
      </c>
      <c r="D313" s="1">
        <v>35</v>
      </c>
      <c r="E313" s="1" t="str" cm="1">
        <f t="array" ref="E313">_xlfn.IFS(
D313&lt;20,"Light",
D313&lt;50,"Medium",
D313&lt;100,"Heavy",
D313&gt;=100,"Very Heavy")</f>
        <v>Medium</v>
      </c>
      <c r="F313" s="2">
        <v>110</v>
      </c>
      <c r="G313" s="2" t="str" cm="1">
        <f t="array" ref="G313">_xlfn.IFS(
F313&lt;50,"Small",
F313&lt;100,"Medium",
F313&lt;150,"Large",
F313&gt;=150,"Very Large"
)</f>
        <v>Large</v>
      </c>
      <c r="H313" s="2" t="s">
        <v>32</v>
      </c>
      <c r="I313" s="2">
        <v>50.640732999999997</v>
      </c>
      <c r="J313" s="2">
        <v>14.84516</v>
      </c>
      <c r="K313" s="2" t="str">
        <f t="shared" si="17"/>
        <v>Available</v>
      </c>
      <c r="L313" s="2" t="s">
        <v>10</v>
      </c>
      <c r="M313" s="3">
        <v>45372</v>
      </c>
      <c r="N313" s="3" t="str">
        <f t="shared" si="18"/>
        <v>March</v>
      </c>
      <c r="O313" s="2" t="s">
        <v>14</v>
      </c>
      <c r="P313" t="str">
        <f t="shared" si="19"/>
        <v>OK</v>
      </c>
    </row>
    <row r="314" spans="1:16" x14ac:dyDescent="0.3">
      <c r="A314" s="2">
        <f t="shared" si="16"/>
        <v>313</v>
      </c>
      <c r="B314" s="2" t="s">
        <v>27</v>
      </c>
      <c r="C314" s="2" t="s">
        <v>15</v>
      </c>
      <c r="D314" s="1">
        <v>360</v>
      </c>
      <c r="E314" s="1" t="str" cm="1">
        <f t="array" ref="E314">_xlfn.IFS(
D314&lt;20,"Light",
D314&lt;50,"Medium",
D314&lt;100,"Heavy",
D314&gt;=100,"Very Heavy")</f>
        <v>Very Heavy</v>
      </c>
      <c r="F314" s="2">
        <v>175</v>
      </c>
      <c r="G314" s="2" t="str" cm="1">
        <f t="array" ref="G314">_xlfn.IFS(
F314&lt;50,"Small",
F314&lt;100,"Medium",
F314&lt;150,"Large",
F314&gt;=150,"Very Large"
)</f>
        <v>Very Large</v>
      </c>
      <c r="H314" s="2" t="s">
        <v>33</v>
      </c>
      <c r="I314" s="2">
        <v>50.636642000000002</v>
      </c>
      <c r="J314" s="2">
        <v>14.847946</v>
      </c>
      <c r="K314" s="2" t="str">
        <f t="shared" si="17"/>
        <v>Available</v>
      </c>
      <c r="L314" s="2" t="s">
        <v>10</v>
      </c>
      <c r="M314" s="3">
        <v>45372</v>
      </c>
      <c r="N314" s="3" t="str">
        <f t="shared" si="18"/>
        <v>March</v>
      </c>
      <c r="O314" s="2" t="s">
        <v>14</v>
      </c>
      <c r="P314" t="str">
        <f t="shared" si="19"/>
        <v>OK</v>
      </c>
    </row>
    <row r="315" spans="1:16" x14ac:dyDescent="0.3">
      <c r="A315" s="2">
        <f t="shared" si="16"/>
        <v>314</v>
      </c>
      <c r="B315" s="2" t="s">
        <v>30</v>
      </c>
      <c r="C315" s="2" t="s">
        <v>15</v>
      </c>
      <c r="D315" s="1">
        <v>1.1000000000000001</v>
      </c>
      <c r="E315" s="1" t="str" cm="1">
        <f t="array" ref="E315">_xlfn.IFS(
D315&lt;20,"Light",
D315&lt;50,"Medium",
D315&lt;100,"Heavy",
D315&gt;=100,"Very Heavy")</f>
        <v>Light</v>
      </c>
      <c r="F315" s="2">
        <v>18</v>
      </c>
      <c r="G315" s="2" t="str" cm="1">
        <f t="array" ref="G315">_xlfn.IFS(
F315&lt;50,"Small",
F315&lt;100,"Medium",
F315&lt;150,"Large",
F315&gt;=150,"Very Large"
)</f>
        <v>Small</v>
      </c>
      <c r="H315" s="2" t="s">
        <v>33</v>
      </c>
      <c r="I315" s="2">
        <v>49.939473999999997</v>
      </c>
      <c r="J315" s="2">
        <v>14.180897</v>
      </c>
      <c r="K315" s="2" t="str">
        <f t="shared" si="17"/>
        <v>Available</v>
      </c>
      <c r="L315" s="2" t="s">
        <v>10</v>
      </c>
      <c r="M315" s="3">
        <v>45372</v>
      </c>
      <c r="N315" s="3" t="str">
        <f t="shared" si="18"/>
        <v>March</v>
      </c>
      <c r="O315" s="2" t="s">
        <v>14</v>
      </c>
      <c r="P315" t="str">
        <f t="shared" si="19"/>
        <v>OK</v>
      </c>
    </row>
    <row r="316" spans="1:16" x14ac:dyDescent="0.3">
      <c r="A316" s="2">
        <f t="shared" si="16"/>
        <v>315</v>
      </c>
      <c r="B316" s="2" t="s">
        <v>29</v>
      </c>
      <c r="C316" s="2" t="s">
        <v>15</v>
      </c>
      <c r="D316" s="1">
        <v>0.33500000000000002</v>
      </c>
      <c r="E316" s="1" t="str" cm="1">
        <f t="array" ref="E316">_xlfn.IFS(
D316&lt;20,"Light",
D316&lt;50,"Medium",
D316&lt;100,"Heavy",
D316&gt;=100,"Very Heavy")</f>
        <v>Light</v>
      </c>
      <c r="F316" s="2">
        <v>20</v>
      </c>
      <c r="G316" s="2" t="str" cm="1">
        <f t="array" ref="G316">_xlfn.IFS(
F316&lt;50,"Small",
F316&lt;100,"Medium",
F316&lt;150,"Large",
F316&gt;=150,"Very Large"
)</f>
        <v>Small</v>
      </c>
      <c r="H316" s="2" t="s">
        <v>32</v>
      </c>
      <c r="I316" s="2">
        <v>49.938958</v>
      </c>
      <c r="J316" s="2">
        <v>14.181258</v>
      </c>
      <c r="K316" s="2" t="str">
        <f t="shared" si="17"/>
        <v>Available</v>
      </c>
      <c r="L316" s="2" t="s">
        <v>10</v>
      </c>
      <c r="M316" s="3">
        <v>45372</v>
      </c>
      <c r="N316" s="3" t="str">
        <f t="shared" si="18"/>
        <v>March</v>
      </c>
      <c r="O316" s="2" t="s">
        <v>14</v>
      </c>
      <c r="P316" t="str">
        <f t="shared" si="19"/>
        <v>OK</v>
      </c>
    </row>
    <row r="317" spans="1:16" x14ac:dyDescent="0.3">
      <c r="A317" s="2">
        <f t="shared" si="16"/>
        <v>316</v>
      </c>
      <c r="B317" s="2" t="s">
        <v>29</v>
      </c>
      <c r="C317" s="2" t="s">
        <v>13</v>
      </c>
      <c r="D317" s="1">
        <v>0.27300000000000002</v>
      </c>
      <c r="E317" s="1" t="str" cm="1">
        <f t="array" ref="E317">_xlfn.IFS(
D317&lt;20,"Light",
D317&lt;50,"Medium",
D317&lt;100,"Heavy",
D317&gt;=100,"Very Heavy")</f>
        <v>Light</v>
      </c>
      <c r="F317" s="2">
        <v>23</v>
      </c>
      <c r="G317" s="2" t="str" cm="1">
        <f t="array" ref="G317">_xlfn.IFS(
F317&lt;50,"Small",
F317&lt;100,"Medium",
F317&lt;150,"Large",
F317&gt;=150,"Very Large"
)</f>
        <v>Small</v>
      </c>
      <c r="H317" s="2" t="s">
        <v>32</v>
      </c>
      <c r="I317" s="2">
        <v>48.185898000000002</v>
      </c>
      <c r="J317" s="2">
        <v>17.090682999999999</v>
      </c>
      <c r="K317" s="2" t="str">
        <f t="shared" si="17"/>
        <v>Available</v>
      </c>
      <c r="L317" s="2" t="s">
        <v>10</v>
      </c>
      <c r="M317" s="3">
        <v>45372</v>
      </c>
      <c r="N317" s="3" t="str">
        <f t="shared" si="18"/>
        <v>March</v>
      </c>
      <c r="O317" s="2" t="s">
        <v>14</v>
      </c>
      <c r="P317" t="str">
        <f t="shared" si="19"/>
        <v>OK</v>
      </c>
    </row>
    <row r="318" spans="1:16" x14ac:dyDescent="0.3">
      <c r="A318" s="2">
        <f t="shared" si="16"/>
        <v>317</v>
      </c>
      <c r="B318" s="2" t="s">
        <v>29</v>
      </c>
      <c r="C318" s="2" t="s">
        <v>13</v>
      </c>
      <c r="D318" s="1">
        <v>0.33</v>
      </c>
      <c r="E318" s="1" t="str" cm="1">
        <f t="array" ref="E318">_xlfn.IFS(
D318&lt;20,"Light",
D318&lt;50,"Medium",
D318&lt;100,"Heavy",
D318&gt;=100,"Very Heavy")</f>
        <v>Light</v>
      </c>
      <c r="F318" s="2">
        <v>19</v>
      </c>
      <c r="G318" s="2" t="str" cm="1">
        <f t="array" ref="G318">_xlfn.IFS(
F318&lt;50,"Small",
F318&lt;100,"Medium",
F318&lt;150,"Large",
F318&gt;=150,"Very Large"
)</f>
        <v>Small</v>
      </c>
      <c r="H318" s="2" t="s">
        <v>32</v>
      </c>
      <c r="I318" s="2">
        <v>48.186672000000002</v>
      </c>
      <c r="J318" s="2">
        <v>17.091508000000001</v>
      </c>
      <c r="K318" s="2" t="str">
        <f t="shared" si="17"/>
        <v>Available</v>
      </c>
      <c r="L318" s="2" t="s">
        <v>10</v>
      </c>
      <c r="M318" s="3">
        <v>45372</v>
      </c>
      <c r="N318" s="3" t="str">
        <f t="shared" si="18"/>
        <v>March</v>
      </c>
      <c r="O318" s="2" t="s">
        <v>14</v>
      </c>
      <c r="P318" t="str">
        <f t="shared" si="19"/>
        <v>OK</v>
      </c>
    </row>
    <row r="319" spans="1:16" x14ac:dyDescent="0.3">
      <c r="A319" s="2">
        <f t="shared" si="16"/>
        <v>318</v>
      </c>
      <c r="B319" s="2" t="s">
        <v>29</v>
      </c>
      <c r="C319" s="2" t="s">
        <v>13</v>
      </c>
      <c r="D319" s="1">
        <v>0.32900000000000001</v>
      </c>
      <c r="E319" s="1" t="str" cm="1">
        <f t="array" ref="E319">_xlfn.IFS(
D319&lt;20,"Light",
D319&lt;50,"Medium",
D319&lt;100,"Heavy",
D319&gt;=100,"Very Heavy")</f>
        <v>Light</v>
      </c>
      <c r="F319" s="2">
        <v>19</v>
      </c>
      <c r="G319" s="2" t="str" cm="1">
        <f t="array" ref="G319">_xlfn.IFS(
F319&lt;50,"Small",
F319&lt;100,"Medium",
F319&lt;150,"Large",
F319&gt;=150,"Very Large"
)</f>
        <v>Small</v>
      </c>
      <c r="H319" s="2" t="s">
        <v>33</v>
      </c>
      <c r="I319" s="2">
        <v>48.18685</v>
      </c>
      <c r="J319" s="2">
        <v>17.091228000000001</v>
      </c>
      <c r="K319" s="2" t="str">
        <f t="shared" si="17"/>
        <v>Available</v>
      </c>
      <c r="L319" s="2" t="s">
        <v>10</v>
      </c>
      <c r="M319" s="3">
        <v>45372</v>
      </c>
      <c r="N319" s="3" t="str">
        <f t="shared" si="18"/>
        <v>March</v>
      </c>
      <c r="O319" s="2" t="s">
        <v>14</v>
      </c>
      <c r="P319" t="str">
        <f t="shared" si="19"/>
        <v>OK</v>
      </c>
    </row>
    <row r="320" spans="1:16" x14ac:dyDescent="0.3">
      <c r="A320" s="2">
        <f t="shared" si="16"/>
        <v>319</v>
      </c>
      <c r="B320" s="2" t="s">
        <v>27</v>
      </c>
      <c r="C320" s="2" t="s">
        <v>4</v>
      </c>
      <c r="D320" s="1">
        <v>1000</v>
      </c>
      <c r="E320" s="1" t="str" cm="1">
        <f t="array" ref="E320">_xlfn.IFS(
D320&lt;20,"Light",
D320&lt;50,"Medium",
D320&lt;100,"Heavy",
D320&gt;=100,"Very Heavy")</f>
        <v>Very Heavy</v>
      </c>
      <c r="F320" s="2">
        <v>320</v>
      </c>
      <c r="G320" s="2" t="str" cm="1">
        <f t="array" ref="G320">_xlfn.IFS(
F320&lt;50,"Small",
F320&lt;100,"Medium",
F320&lt;150,"Large",
F320&gt;=150,"Very Large"
)</f>
        <v>Very Large</v>
      </c>
      <c r="H320" s="2" t="s">
        <v>32</v>
      </c>
      <c r="I320" s="2">
        <v>52.825470000000003</v>
      </c>
      <c r="J320" s="2">
        <v>23.81307</v>
      </c>
      <c r="K320" s="2" t="str">
        <f t="shared" si="17"/>
        <v>Available</v>
      </c>
      <c r="L320" s="2" t="s">
        <v>18</v>
      </c>
      <c r="M320" s="3">
        <v>45373</v>
      </c>
      <c r="N320" s="3" t="str">
        <f t="shared" si="18"/>
        <v>March</v>
      </c>
      <c r="O320" s="2" t="s">
        <v>6</v>
      </c>
      <c r="P320" t="str">
        <f t="shared" si="19"/>
        <v>OK</v>
      </c>
    </row>
    <row r="321" spans="1:16" x14ac:dyDescent="0.3">
      <c r="A321" s="2">
        <f t="shared" si="16"/>
        <v>320</v>
      </c>
      <c r="B321" s="2" t="s">
        <v>30</v>
      </c>
      <c r="C321" s="2" t="s">
        <v>7</v>
      </c>
      <c r="D321" s="1">
        <v>1.1000000000000001</v>
      </c>
      <c r="E321" s="1" t="str" cm="1">
        <f t="array" ref="E321">_xlfn.IFS(
D321&lt;20,"Light",
D321&lt;50,"Medium",
D321&lt;100,"Heavy",
D321&gt;=100,"Very Heavy")</f>
        <v>Light</v>
      </c>
      <c r="F321" s="2">
        <v>18</v>
      </c>
      <c r="G321" s="2" t="str" cm="1">
        <f t="array" ref="G321">_xlfn.IFS(
F321&lt;50,"Small",
F321&lt;100,"Medium",
F321&lt;150,"Large",
F321&gt;=150,"Very Large"
)</f>
        <v>Small</v>
      </c>
      <c r="H321" s="2" t="s">
        <v>32</v>
      </c>
      <c r="I321" s="2">
        <v>48.503062</v>
      </c>
      <c r="J321" s="2">
        <v>20.551697999999998</v>
      </c>
      <c r="K321" s="2" t="str">
        <f t="shared" si="17"/>
        <v>Available</v>
      </c>
      <c r="L321" s="2" t="s">
        <v>10</v>
      </c>
      <c r="M321" s="3">
        <v>45373</v>
      </c>
      <c r="N321" s="3" t="str">
        <f t="shared" si="18"/>
        <v>March</v>
      </c>
      <c r="O321" s="2" t="s">
        <v>6</v>
      </c>
      <c r="P321" t="str">
        <f t="shared" si="19"/>
        <v>OK</v>
      </c>
    </row>
    <row r="322" spans="1:16" x14ac:dyDescent="0.3">
      <c r="A322" s="2">
        <f t="shared" si="16"/>
        <v>321</v>
      </c>
      <c r="B322" s="2" t="s">
        <v>29</v>
      </c>
      <c r="C322" s="2" t="s">
        <v>11</v>
      </c>
      <c r="D322" s="1">
        <v>0.30599999999999999</v>
      </c>
      <c r="E322" s="1" t="str" cm="1">
        <f t="array" ref="E322">_xlfn.IFS(
D322&lt;20,"Light",
D322&lt;50,"Medium",
D322&lt;100,"Heavy",
D322&gt;=100,"Very Heavy")</f>
        <v>Light</v>
      </c>
      <c r="F322" s="2">
        <v>23</v>
      </c>
      <c r="G322" s="2" t="str" cm="1">
        <f t="array" ref="G322">_xlfn.IFS(
F322&lt;50,"Small",
F322&lt;100,"Medium",
F322&lt;150,"Large",
F322&gt;=150,"Very Large"
)</f>
        <v>Small</v>
      </c>
      <c r="H322" s="2" t="s">
        <v>32</v>
      </c>
      <c r="I322" s="2">
        <v>52.584352000000003</v>
      </c>
      <c r="J322" s="2">
        <v>13.148089000000001</v>
      </c>
      <c r="K322" s="2" t="str">
        <f t="shared" si="17"/>
        <v>Available</v>
      </c>
      <c r="L322" s="2" t="s">
        <v>10</v>
      </c>
      <c r="M322" s="3">
        <v>45373</v>
      </c>
      <c r="N322" s="3" t="str">
        <f t="shared" si="18"/>
        <v>March</v>
      </c>
      <c r="O322" s="2" t="s">
        <v>12</v>
      </c>
      <c r="P322" t="str">
        <f t="shared" si="19"/>
        <v>OK</v>
      </c>
    </row>
    <row r="323" spans="1:16" x14ac:dyDescent="0.3">
      <c r="A323" s="2">
        <f t="shared" ref="A323:A386" si="20">ROW()-1</f>
        <v>322</v>
      </c>
      <c r="B323" s="2" t="s">
        <v>29</v>
      </c>
      <c r="C323" s="2" t="s">
        <v>11</v>
      </c>
      <c r="D323" s="1">
        <v>0.33400000000000002</v>
      </c>
      <c r="E323" s="1" t="str" cm="1">
        <f t="array" ref="E323">_xlfn.IFS(
D323&lt;20,"Light",
D323&lt;50,"Medium",
D323&lt;100,"Heavy",
D323&gt;=100,"Very Heavy")</f>
        <v>Light</v>
      </c>
      <c r="F323" s="2">
        <v>19</v>
      </c>
      <c r="G323" s="2" t="str" cm="1">
        <f t="array" ref="G323">_xlfn.IFS(
F323&lt;50,"Small",
F323&lt;100,"Medium",
F323&lt;150,"Large",
F323&gt;=150,"Very Large"
)</f>
        <v>Small</v>
      </c>
      <c r="H323" s="2" t="s">
        <v>32</v>
      </c>
      <c r="I323" s="2">
        <v>52.587862999999999</v>
      </c>
      <c r="J323" s="2">
        <v>13.147785000000001</v>
      </c>
      <c r="K323" s="2" t="str">
        <f t="shared" ref="K323:K386" si="21">IF(OR(I323="",J323=""),"Missing Location","Available")</f>
        <v>Available</v>
      </c>
      <c r="L323" s="2" t="s">
        <v>10</v>
      </c>
      <c r="M323" s="3">
        <v>45373</v>
      </c>
      <c r="N323" s="3" t="str">
        <f t="shared" ref="N323:N386" si="22">TEXT(M323,"mmmm")</f>
        <v>March</v>
      </c>
      <c r="O323" s="2" t="s">
        <v>12</v>
      </c>
      <c r="P323" t="str">
        <f t="shared" ref="P323:P386" si="23">IF(OR(B323="",C323="",D323="",E323="",J323=""),"Needs Review","OK")</f>
        <v>OK</v>
      </c>
    </row>
    <row r="324" spans="1:16" x14ac:dyDescent="0.3">
      <c r="A324" s="2">
        <f t="shared" si="20"/>
        <v>323</v>
      </c>
      <c r="B324" s="2" t="s">
        <v>29</v>
      </c>
      <c r="C324" s="2" t="s">
        <v>11</v>
      </c>
      <c r="D324" s="1">
        <v>0.33400000000000002</v>
      </c>
      <c r="E324" s="1" t="str" cm="1">
        <f t="array" ref="E324">_xlfn.IFS(
D324&lt;20,"Light",
D324&lt;50,"Medium",
D324&lt;100,"Heavy",
D324&gt;=100,"Very Heavy")</f>
        <v>Light</v>
      </c>
      <c r="F324" s="2">
        <v>21</v>
      </c>
      <c r="G324" s="2" t="str" cm="1">
        <f t="array" ref="G324">_xlfn.IFS(
F324&lt;50,"Small",
F324&lt;100,"Medium",
F324&lt;150,"Large",
F324&gt;=150,"Very Large"
)</f>
        <v>Small</v>
      </c>
      <c r="H324" s="2" t="s">
        <v>32</v>
      </c>
      <c r="I324" s="2">
        <v>52.587733999999998</v>
      </c>
      <c r="J324" s="2">
        <v>13.151377999999999</v>
      </c>
      <c r="K324" s="2" t="str">
        <f t="shared" si="21"/>
        <v>Available</v>
      </c>
      <c r="L324" s="2" t="s">
        <v>10</v>
      </c>
      <c r="M324" s="3">
        <v>45373</v>
      </c>
      <c r="N324" s="3" t="str">
        <f t="shared" si="22"/>
        <v>March</v>
      </c>
      <c r="O324" s="2" t="s">
        <v>12</v>
      </c>
      <c r="P324" t="str">
        <f t="shared" si="23"/>
        <v>OK</v>
      </c>
    </row>
    <row r="325" spans="1:16" x14ac:dyDescent="0.3">
      <c r="A325" s="2">
        <f t="shared" si="20"/>
        <v>324</v>
      </c>
      <c r="B325" s="2" t="s">
        <v>29</v>
      </c>
      <c r="C325" s="2" t="s">
        <v>11</v>
      </c>
      <c r="D325" s="1">
        <v>0.32900000000000001</v>
      </c>
      <c r="E325" s="1" t="str" cm="1">
        <f t="array" ref="E325">_xlfn.IFS(
D325&lt;20,"Light",
D325&lt;50,"Medium",
D325&lt;100,"Heavy",
D325&gt;=100,"Very Heavy")</f>
        <v>Light</v>
      </c>
      <c r="F325" s="2">
        <v>19</v>
      </c>
      <c r="G325" s="2" t="str" cm="1">
        <f t="array" ref="G325">_xlfn.IFS(
F325&lt;50,"Small",
F325&lt;100,"Medium",
F325&lt;150,"Large",
F325&gt;=150,"Very Large"
)</f>
        <v>Small</v>
      </c>
      <c r="H325" s="2" t="s">
        <v>33</v>
      </c>
      <c r="I325" s="2">
        <v>52.582754000000001</v>
      </c>
      <c r="J325" s="2">
        <v>13.145364000000001</v>
      </c>
      <c r="K325" s="2" t="str">
        <f t="shared" si="21"/>
        <v>Available</v>
      </c>
      <c r="L325" s="2" t="s">
        <v>10</v>
      </c>
      <c r="M325" s="3">
        <v>45373</v>
      </c>
      <c r="N325" s="3" t="str">
        <f t="shared" si="22"/>
        <v>March</v>
      </c>
      <c r="O325" s="2" t="s">
        <v>12</v>
      </c>
      <c r="P325" t="str">
        <f t="shared" si="23"/>
        <v>OK</v>
      </c>
    </row>
    <row r="326" spans="1:16" x14ac:dyDescent="0.3">
      <c r="A326" s="2">
        <f t="shared" si="20"/>
        <v>325</v>
      </c>
      <c r="B326" s="2" t="s">
        <v>29</v>
      </c>
      <c r="C326" s="2" t="s">
        <v>11</v>
      </c>
      <c r="D326" s="1">
        <v>0.317</v>
      </c>
      <c r="E326" s="1" t="str" cm="1">
        <f t="array" ref="E326">_xlfn.IFS(
D326&lt;20,"Light",
D326&lt;50,"Medium",
D326&lt;100,"Heavy",
D326&gt;=100,"Very Heavy")</f>
        <v>Light</v>
      </c>
      <c r="F326" s="2">
        <v>22</v>
      </c>
      <c r="G326" s="2" t="str" cm="1">
        <f t="array" ref="G326">_xlfn.IFS(
F326&lt;50,"Small",
F326&lt;100,"Medium",
F326&lt;150,"Large",
F326&gt;=150,"Very Large"
)</f>
        <v>Small</v>
      </c>
      <c r="H326" s="2" t="s">
        <v>32</v>
      </c>
      <c r="I326" s="2">
        <v>52.585517000000003</v>
      </c>
      <c r="J326" s="2">
        <v>13.150878000000001</v>
      </c>
      <c r="K326" s="2" t="str">
        <f t="shared" si="21"/>
        <v>Available</v>
      </c>
      <c r="L326" s="2" t="s">
        <v>10</v>
      </c>
      <c r="M326" s="3">
        <v>45373</v>
      </c>
      <c r="N326" s="3" t="str">
        <f t="shared" si="22"/>
        <v>March</v>
      </c>
      <c r="O326" s="2" t="s">
        <v>12</v>
      </c>
      <c r="P326" t="str">
        <f t="shared" si="23"/>
        <v>OK</v>
      </c>
    </row>
    <row r="327" spans="1:16" x14ac:dyDescent="0.3">
      <c r="A327" s="2">
        <f t="shared" si="20"/>
        <v>326</v>
      </c>
      <c r="B327" s="2" t="s">
        <v>29</v>
      </c>
      <c r="C327" s="2" t="s">
        <v>11</v>
      </c>
      <c r="D327" s="1">
        <v>0.26700000000000002</v>
      </c>
      <c r="E327" s="1" t="str" cm="1">
        <f t="array" ref="E327">_xlfn.IFS(
D327&lt;20,"Light",
D327&lt;50,"Medium",
D327&lt;100,"Heavy",
D327&gt;=100,"Very Heavy")</f>
        <v>Light</v>
      </c>
      <c r="F327" s="2">
        <v>21</v>
      </c>
      <c r="G327" s="2" t="str" cm="1">
        <f t="array" ref="G327">_xlfn.IFS(
F327&lt;50,"Small",
F327&lt;100,"Medium",
F327&lt;150,"Large",
F327&gt;=150,"Very Large"
)</f>
        <v>Small</v>
      </c>
      <c r="H327" s="2" t="s">
        <v>33</v>
      </c>
      <c r="I327" s="2">
        <v>52.588833999999999</v>
      </c>
      <c r="J327" s="2">
        <v>13.15192</v>
      </c>
      <c r="K327" s="2" t="str">
        <f t="shared" si="21"/>
        <v>Available</v>
      </c>
      <c r="L327" s="2" t="s">
        <v>10</v>
      </c>
      <c r="M327" s="3">
        <v>45373</v>
      </c>
      <c r="N327" s="3" t="str">
        <f t="shared" si="22"/>
        <v>March</v>
      </c>
      <c r="O327" s="2" t="s">
        <v>12</v>
      </c>
      <c r="P327" t="str">
        <f t="shared" si="23"/>
        <v>OK</v>
      </c>
    </row>
    <row r="328" spans="1:16" x14ac:dyDescent="0.3">
      <c r="A328" s="2">
        <f t="shared" si="20"/>
        <v>327</v>
      </c>
      <c r="B328" s="2" t="s">
        <v>27</v>
      </c>
      <c r="C328" s="2" t="s">
        <v>15</v>
      </c>
      <c r="D328" s="1">
        <v>603</v>
      </c>
      <c r="E328" s="1" t="str" cm="1">
        <f t="array" ref="E328">_xlfn.IFS(
D328&lt;20,"Light",
D328&lt;50,"Medium",
D328&lt;100,"Heavy",
D328&gt;=100,"Very Heavy")</f>
        <v>Very Heavy</v>
      </c>
      <c r="F328" s="2">
        <v>291</v>
      </c>
      <c r="G328" s="2" t="str" cm="1">
        <f t="array" ref="G328">_xlfn.IFS(
F328&lt;50,"Small",
F328&lt;100,"Medium",
F328&lt;150,"Large",
F328&gt;=150,"Very Large"
)</f>
        <v>Very Large</v>
      </c>
      <c r="H328" s="2" t="s">
        <v>32</v>
      </c>
      <c r="I328" s="2">
        <v>50.644812999999999</v>
      </c>
      <c r="J328" s="2">
        <v>14.839817</v>
      </c>
      <c r="K328" s="2" t="str">
        <f t="shared" si="21"/>
        <v>Available</v>
      </c>
      <c r="L328" s="2" t="s">
        <v>10</v>
      </c>
      <c r="M328" s="3">
        <v>45373</v>
      </c>
      <c r="N328" s="3" t="str">
        <f t="shared" si="22"/>
        <v>March</v>
      </c>
      <c r="O328" s="2" t="s">
        <v>14</v>
      </c>
      <c r="P328" t="str">
        <f t="shared" si="23"/>
        <v>OK</v>
      </c>
    </row>
    <row r="329" spans="1:16" x14ac:dyDescent="0.3">
      <c r="A329" s="2">
        <f t="shared" si="20"/>
        <v>328</v>
      </c>
      <c r="B329" s="2" t="s">
        <v>27</v>
      </c>
      <c r="C329" s="2" t="s">
        <v>15</v>
      </c>
      <c r="D329" s="1">
        <v>717</v>
      </c>
      <c r="E329" s="1" t="str" cm="1">
        <f t="array" ref="E329">_xlfn.IFS(
D329&lt;20,"Light",
D329&lt;50,"Medium",
D329&lt;100,"Heavy",
D329&gt;=100,"Very Heavy")</f>
        <v>Very Heavy</v>
      </c>
      <c r="F329" s="2">
        <v>305</v>
      </c>
      <c r="G329" s="2" t="str" cm="1">
        <f t="array" ref="G329">_xlfn.IFS(
F329&lt;50,"Small",
F329&lt;100,"Medium",
F329&lt;150,"Large",
F329&gt;=150,"Very Large"
)</f>
        <v>Very Large</v>
      </c>
      <c r="H329" s="2" t="s">
        <v>32</v>
      </c>
      <c r="I329" s="2">
        <v>50.635565</v>
      </c>
      <c r="J329" s="2">
        <v>14.839320000000001</v>
      </c>
      <c r="K329" s="2" t="str">
        <f t="shared" si="21"/>
        <v>Available</v>
      </c>
      <c r="L329" s="2" t="s">
        <v>10</v>
      </c>
      <c r="M329" s="3">
        <v>45373</v>
      </c>
      <c r="N329" s="3" t="str">
        <f t="shared" si="22"/>
        <v>March</v>
      </c>
      <c r="O329" s="2" t="s">
        <v>14</v>
      </c>
      <c r="P329" t="str">
        <f t="shared" si="23"/>
        <v>OK</v>
      </c>
    </row>
    <row r="330" spans="1:16" x14ac:dyDescent="0.3">
      <c r="A330" s="2">
        <f t="shared" si="20"/>
        <v>329</v>
      </c>
      <c r="B330" s="2" t="s">
        <v>27</v>
      </c>
      <c r="C330" s="2" t="s">
        <v>15</v>
      </c>
      <c r="D330" s="1">
        <v>390</v>
      </c>
      <c r="E330" s="1" t="str" cm="1">
        <f t="array" ref="E330">_xlfn.IFS(
D330&lt;20,"Light",
D330&lt;50,"Medium",
D330&lt;100,"Heavy",
D330&gt;=100,"Very Heavy")</f>
        <v>Very Heavy</v>
      </c>
      <c r="F330" s="2">
        <v>145</v>
      </c>
      <c r="G330" s="2" t="str" cm="1">
        <f t="array" ref="G330">_xlfn.IFS(
F330&lt;50,"Small",
F330&lt;100,"Medium",
F330&lt;150,"Large",
F330&gt;=150,"Very Large"
)</f>
        <v>Large</v>
      </c>
      <c r="H330" s="2" t="s">
        <v>33</v>
      </c>
      <c r="I330" s="2">
        <v>50.639856000000002</v>
      </c>
      <c r="J330" s="2">
        <v>14.847626</v>
      </c>
      <c r="K330" s="2" t="str">
        <f t="shared" si="21"/>
        <v>Available</v>
      </c>
      <c r="L330" s="2" t="s">
        <v>10</v>
      </c>
      <c r="M330" s="3">
        <v>45373</v>
      </c>
      <c r="N330" s="3" t="str">
        <f t="shared" si="22"/>
        <v>March</v>
      </c>
      <c r="O330" s="2" t="s">
        <v>14</v>
      </c>
      <c r="P330" t="str">
        <f t="shared" si="23"/>
        <v>OK</v>
      </c>
    </row>
    <row r="331" spans="1:16" x14ac:dyDescent="0.3">
      <c r="A331" s="2">
        <f t="shared" si="20"/>
        <v>330</v>
      </c>
      <c r="B331" s="2" t="s">
        <v>30</v>
      </c>
      <c r="C331" s="2" t="s">
        <v>15</v>
      </c>
      <c r="D331" s="1">
        <v>0.6</v>
      </c>
      <c r="E331" s="1" t="str" cm="1">
        <f t="array" ref="E331">_xlfn.IFS(
D331&lt;20,"Light",
D331&lt;50,"Medium",
D331&lt;100,"Heavy",
D331&gt;=100,"Very Heavy")</f>
        <v>Light</v>
      </c>
      <c r="F331" s="2">
        <v>21</v>
      </c>
      <c r="G331" s="2" t="str" cm="1">
        <f t="array" ref="G331">_xlfn.IFS(
F331&lt;50,"Small",
F331&lt;100,"Medium",
F331&lt;150,"Large",
F331&gt;=150,"Very Large"
)</f>
        <v>Small</v>
      </c>
      <c r="H331" s="2" t="s">
        <v>33</v>
      </c>
      <c r="I331" s="2">
        <v>49.939062</v>
      </c>
      <c r="J331" s="2">
        <v>14.178750000000001</v>
      </c>
      <c r="K331" s="2" t="str">
        <f t="shared" si="21"/>
        <v>Available</v>
      </c>
      <c r="L331" s="2" t="s">
        <v>10</v>
      </c>
      <c r="M331" s="3">
        <v>45373</v>
      </c>
      <c r="N331" s="3" t="str">
        <f t="shared" si="22"/>
        <v>March</v>
      </c>
      <c r="O331" s="2" t="s">
        <v>14</v>
      </c>
      <c r="P331" t="str">
        <f t="shared" si="23"/>
        <v>OK</v>
      </c>
    </row>
    <row r="332" spans="1:16" x14ac:dyDescent="0.3">
      <c r="A332" s="2">
        <f t="shared" si="20"/>
        <v>331</v>
      </c>
      <c r="B332" s="2" t="s">
        <v>30</v>
      </c>
      <c r="C332" s="2" t="s">
        <v>15</v>
      </c>
      <c r="D332" s="1">
        <v>1.1000000000000001</v>
      </c>
      <c r="E332" s="1" t="str" cm="1">
        <f t="array" ref="E332">_xlfn.IFS(
D332&lt;20,"Light",
D332&lt;50,"Medium",
D332&lt;100,"Heavy",
D332&gt;=100,"Very Heavy")</f>
        <v>Light</v>
      </c>
      <c r="F332" s="2">
        <v>21</v>
      </c>
      <c r="G332" s="2" t="str" cm="1">
        <f t="array" ref="G332">_xlfn.IFS(
F332&lt;50,"Small",
F332&lt;100,"Medium",
F332&lt;150,"Large",
F332&gt;=150,"Very Large"
)</f>
        <v>Small</v>
      </c>
      <c r="H332" s="2" t="s">
        <v>32</v>
      </c>
      <c r="I332" s="2">
        <v>49.939165000000003</v>
      </c>
      <c r="J332" s="2">
        <v>14.182528</v>
      </c>
      <c r="K332" s="2" t="str">
        <f t="shared" si="21"/>
        <v>Available</v>
      </c>
      <c r="L332" s="2" t="s">
        <v>10</v>
      </c>
      <c r="M332" s="3">
        <v>45373</v>
      </c>
      <c r="N332" s="3" t="str">
        <f t="shared" si="22"/>
        <v>March</v>
      </c>
      <c r="O332" s="2" t="s">
        <v>14</v>
      </c>
      <c r="P332" t="str">
        <f t="shared" si="23"/>
        <v>OK</v>
      </c>
    </row>
    <row r="333" spans="1:16" x14ac:dyDescent="0.3">
      <c r="A333" s="2">
        <f t="shared" si="20"/>
        <v>332</v>
      </c>
      <c r="B333" s="2" t="s">
        <v>30</v>
      </c>
      <c r="C333" s="2" t="s">
        <v>15</v>
      </c>
      <c r="D333" s="1">
        <v>0.7</v>
      </c>
      <c r="E333" s="1" t="str" cm="1">
        <f t="array" ref="E333">_xlfn.IFS(
D333&lt;20,"Light",
D333&lt;50,"Medium",
D333&lt;100,"Heavy",
D333&gt;=100,"Very Heavy")</f>
        <v>Light</v>
      </c>
      <c r="F333" s="2">
        <v>18</v>
      </c>
      <c r="G333" s="2" t="str" cm="1">
        <f t="array" ref="G333">_xlfn.IFS(
F333&lt;50,"Small",
F333&lt;100,"Medium",
F333&lt;150,"Large",
F333&gt;=150,"Very Large"
)</f>
        <v>Small</v>
      </c>
      <c r="H333" s="2" t="s">
        <v>33</v>
      </c>
      <c r="I333" s="2">
        <v>49.937562</v>
      </c>
      <c r="J333" s="2">
        <v>14.181101</v>
      </c>
      <c r="K333" s="2" t="str">
        <f t="shared" si="21"/>
        <v>Available</v>
      </c>
      <c r="L333" s="2" t="s">
        <v>10</v>
      </c>
      <c r="M333" s="3">
        <v>45373</v>
      </c>
      <c r="N333" s="3" t="str">
        <f t="shared" si="22"/>
        <v>March</v>
      </c>
      <c r="O333" s="2" t="s">
        <v>14</v>
      </c>
      <c r="P333" t="str">
        <f t="shared" si="23"/>
        <v>OK</v>
      </c>
    </row>
    <row r="334" spans="1:16" x14ac:dyDescent="0.3">
      <c r="A334" s="2">
        <f t="shared" si="20"/>
        <v>333</v>
      </c>
      <c r="B334" s="2" t="s">
        <v>30</v>
      </c>
      <c r="C334" s="2" t="s">
        <v>15</v>
      </c>
      <c r="D334" s="1">
        <v>1.2</v>
      </c>
      <c r="E334" s="1" t="str" cm="1">
        <f t="array" ref="E334">_xlfn.IFS(
D334&lt;20,"Light",
D334&lt;50,"Medium",
D334&lt;100,"Heavy",
D334&gt;=100,"Very Heavy")</f>
        <v>Light</v>
      </c>
      <c r="F334" s="2">
        <v>23</v>
      </c>
      <c r="G334" s="2" t="str" cm="1">
        <f t="array" ref="G334">_xlfn.IFS(
F334&lt;50,"Small",
F334&lt;100,"Medium",
F334&lt;150,"Large",
F334&gt;=150,"Very Large"
)</f>
        <v>Small</v>
      </c>
      <c r="H334" s="2" t="s">
        <v>32</v>
      </c>
      <c r="I334" s="2">
        <v>49.939200999999997</v>
      </c>
      <c r="J334" s="2">
        <v>14.178922999999999</v>
      </c>
      <c r="K334" s="2" t="str">
        <f t="shared" si="21"/>
        <v>Available</v>
      </c>
      <c r="L334" s="2" t="s">
        <v>10</v>
      </c>
      <c r="M334" s="3">
        <v>45373</v>
      </c>
      <c r="N334" s="3" t="str">
        <f t="shared" si="22"/>
        <v>March</v>
      </c>
      <c r="O334" s="2" t="s">
        <v>14</v>
      </c>
      <c r="P334" t="str">
        <f t="shared" si="23"/>
        <v>OK</v>
      </c>
    </row>
    <row r="335" spans="1:16" x14ac:dyDescent="0.3">
      <c r="A335" s="2">
        <f t="shared" si="20"/>
        <v>334</v>
      </c>
      <c r="B335" s="2" t="s">
        <v>28</v>
      </c>
      <c r="C335" s="2" t="s">
        <v>13</v>
      </c>
      <c r="D335" s="1">
        <v>25</v>
      </c>
      <c r="E335" s="1" t="str" cm="1">
        <f t="array" ref="E335">_xlfn.IFS(
D335&lt;20,"Light",
D335&lt;50,"Medium",
D335&lt;100,"Heavy",
D335&gt;=100,"Very Heavy")</f>
        <v>Medium</v>
      </c>
      <c r="F335" s="2">
        <v>96</v>
      </c>
      <c r="G335" s="2" t="str" cm="1">
        <f t="array" ref="G335">_xlfn.IFS(
F335&lt;50,"Small",
F335&lt;100,"Medium",
F335&lt;150,"Large",
F335&gt;=150,"Very Large"
)</f>
        <v>Medium</v>
      </c>
      <c r="H335" s="2" t="s">
        <v>33</v>
      </c>
      <c r="I335" s="2">
        <v>48.410693000000002</v>
      </c>
      <c r="J335" s="2">
        <v>18.832844999999999</v>
      </c>
      <c r="K335" s="2" t="str">
        <f t="shared" si="21"/>
        <v>Available</v>
      </c>
      <c r="L335" s="2" t="s">
        <v>10</v>
      </c>
      <c r="M335" s="3">
        <v>45373</v>
      </c>
      <c r="N335" s="3" t="str">
        <f t="shared" si="22"/>
        <v>March</v>
      </c>
      <c r="O335" s="2" t="s">
        <v>14</v>
      </c>
      <c r="P335" t="str">
        <f t="shared" si="23"/>
        <v>OK</v>
      </c>
    </row>
    <row r="336" spans="1:16" x14ac:dyDescent="0.3">
      <c r="A336" s="2">
        <f t="shared" si="20"/>
        <v>335</v>
      </c>
      <c r="B336" s="2" t="s">
        <v>27</v>
      </c>
      <c r="C336" s="2" t="s">
        <v>4</v>
      </c>
      <c r="D336" s="1">
        <v>660</v>
      </c>
      <c r="E336" s="1" t="str" cm="1">
        <f t="array" ref="E336">_xlfn.IFS(
D336&lt;20,"Light",
D336&lt;50,"Medium",
D336&lt;100,"Heavy",
D336&gt;=100,"Very Heavy")</f>
        <v>Very Heavy</v>
      </c>
      <c r="F336" s="2">
        <v>246</v>
      </c>
      <c r="G336" s="2" t="str" cm="1">
        <f t="array" ref="G336">_xlfn.IFS(
F336&lt;50,"Small",
F336&lt;100,"Medium",
F336&lt;150,"Large",
F336&gt;=150,"Very Large"
)</f>
        <v>Very Large</v>
      </c>
      <c r="H336" s="2" t="s">
        <v>33</v>
      </c>
      <c r="I336" s="2">
        <v>52.824078999999998</v>
      </c>
      <c r="J336" s="2">
        <v>23.81279</v>
      </c>
      <c r="K336" s="2" t="str">
        <f t="shared" si="21"/>
        <v>Available</v>
      </c>
      <c r="L336" s="2" t="s">
        <v>10</v>
      </c>
      <c r="M336" s="3">
        <v>45374</v>
      </c>
      <c r="N336" s="3" t="str">
        <f t="shared" si="22"/>
        <v>March</v>
      </c>
      <c r="O336" s="2" t="s">
        <v>6</v>
      </c>
      <c r="P336" t="str">
        <f t="shared" si="23"/>
        <v>OK</v>
      </c>
    </row>
    <row r="337" spans="1:16" x14ac:dyDescent="0.3">
      <c r="A337" s="2">
        <f t="shared" si="20"/>
        <v>336</v>
      </c>
      <c r="B337" s="2" t="s">
        <v>27</v>
      </c>
      <c r="C337" s="2" t="s">
        <v>4</v>
      </c>
      <c r="D337" s="1">
        <v>619</v>
      </c>
      <c r="E337" s="1" t="str" cm="1">
        <f t="array" ref="E337">_xlfn.IFS(
D337&lt;20,"Light",
D337&lt;50,"Medium",
D337&lt;100,"Heavy",
D337&gt;=100,"Very Heavy")</f>
        <v>Very Heavy</v>
      </c>
      <c r="F337" s="2">
        <v>248</v>
      </c>
      <c r="G337" s="2" t="str" cm="1">
        <f t="array" ref="G337">_xlfn.IFS(
F337&lt;50,"Small",
F337&lt;100,"Medium",
F337&lt;150,"Large",
F337&gt;=150,"Very Large"
)</f>
        <v>Very Large</v>
      </c>
      <c r="H337" s="2" t="s">
        <v>33</v>
      </c>
      <c r="I337" s="2">
        <v>52.826081000000002</v>
      </c>
      <c r="J337" s="2">
        <v>23.815823000000002</v>
      </c>
      <c r="K337" s="2" t="str">
        <f t="shared" si="21"/>
        <v>Available</v>
      </c>
      <c r="L337" s="2" t="s">
        <v>10</v>
      </c>
      <c r="M337" s="3">
        <v>45374</v>
      </c>
      <c r="N337" s="3" t="str">
        <f t="shared" si="22"/>
        <v>March</v>
      </c>
      <c r="O337" s="2" t="s">
        <v>6</v>
      </c>
      <c r="P337" t="str">
        <f t="shared" si="23"/>
        <v>OK</v>
      </c>
    </row>
    <row r="338" spans="1:16" x14ac:dyDescent="0.3">
      <c r="A338" s="2">
        <f t="shared" si="20"/>
        <v>337</v>
      </c>
      <c r="B338" s="2" t="s">
        <v>30</v>
      </c>
      <c r="C338" s="2" t="s">
        <v>7</v>
      </c>
      <c r="D338" s="1">
        <v>0.6</v>
      </c>
      <c r="E338" s="1" t="str" cm="1">
        <f t="array" ref="E338">_xlfn.IFS(
D338&lt;20,"Light",
D338&lt;50,"Medium",
D338&lt;100,"Heavy",
D338&gt;=100,"Very Heavy")</f>
        <v>Light</v>
      </c>
      <c r="F338" s="2">
        <v>19</v>
      </c>
      <c r="G338" s="2" t="str" cm="1">
        <f t="array" ref="G338">_xlfn.IFS(
F338&lt;50,"Small",
F338&lt;100,"Medium",
F338&lt;150,"Large",
F338&gt;=150,"Very Large"
)</f>
        <v>Small</v>
      </c>
      <c r="H338" s="2" t="s">
        <v>33</v>
      </c>
      <c r="I338" s="2">
        <v>48.503498</v>
      </c>
      <c r="J338" s="2">
        <v>20.539662</v>
      </c>
      <c r="K338" s="2" t="str">
        <f t="shared" si="21"/>
        <v>Available</v>
      </c>
      <c r="L338" s="2" t="s">
        <v>10</v>
      </c>
      <c r="M338" s="3">
        <v>45374</v>
      </c>
      <c r="N338" s="3" t="str">
        <f t="shared" si="22"/>
        <v>March</v>
      </c>
      <c r="O338" s="2" t="s">
        <v>6</v>
      </c>
      <c r="P338" t="str">
        <f t="shared" si="23"/>
        <v>OK</v>
      </c>
    </row>
    <row r="339" spans="1:16" x14ac:dyDescent="0.3">
      <c r="A339" s="2">
        <f t="shared" si="20"/>
        <v>338</v>
      </c>
      <c r="B339" s="2" t="s">
        <v>30</v>
      </c>
      <c r="C339" s="2" t="s">
        <v>7</v>
      </c>
      <c r="D339" s="1">
        <v>0.8</v>
      </c>
      <c r="E339" s="1" t="str" cm="1">
        <f t="array" ref="E339">_xlfn.IFS(
D339&lt;20,"Light",
D339&lt;50,"Medium",
D339&lt;100,"Heavy",
D339&gt;=100,"Very Heavy")</f>
        <v>Light</v>
      </c>
      <c r="F339" s="2">
        <v>25</v>
      </c>
      <c r="G339" s="2" t="str" cm="1">
        <f t="array" ref="G339">_xlfn.IFS(
F339&lt;50,"Small",
F339&lt;100,"Medium",
F339&lt;150,"Large",
F339&gt;=150,"Very Large"
)</f>
        <v>Small</v>
      </c>
      <c r="H339" s="2" t="s">
        <v>32</v>
      </c>
      <c r="I339" s="2">
        <v>48.509298000000001</v>
      </c>
      <c r="J339" s="2">
        <v>20.551977000000001</v>
      </c>
      <c r="K339" s="2" t="str">
        <f t="shared" si="21"/>
        <v>Available</v>
      </c>
      <c r="L339" s="2" t="s">
        <v>10</v>
      </c>
      <c r="M339" s="3">
        <v>45374</v>
      </c>
      <c r="N339" s="3" t="str">
        <f t="shared" si="22"/>
        <v>March</v>
      </c>
      <c r="O339" s="2" t="s">
        <v>6</v>
      </c>
      <c r="P339" t="str">
        <f t="shared" si="23"/>
        <v>OK</v>
      </c>
    </row>
    <row r="340" spans="1:16" x14ac:dyDescent="0.3">
      <c r="A340" s="2">
        <f t="shared" si="20"/>
        <v>339</v>
      </c>
      <c r="B340" s="2" t="s">
        <v>30</v>
      </c>
      <c r="C340" s="2" t="s">
        <v>7</v>
      </c>
      <c r="D340" s="1">
        <v>0.4</v>
      </c>
      <c r="E340" s="1" t="str" cm="1">
        <f t="array" ref="E340">_xlfn.IFS(
D340&lt;20,"Light",
D340&lt;50,"Medium",
D340&lt;100,"Heavy",
D340&gt;=100,"Very Heavy")</f>
        <v>Light</v>
      </c>
      <c r="F340" s="2">
        <v>15</v>
      </c>
      <c r="G340" s="2" t="str" cm="1">
        <f t="array" ref="G340">_xlfn.IFS(
F340&lt;50,"Small",
F340&lt;100,"Medium",
F340&lt;150,"Large",
F340&gt;=150,"Very Large"
)</f>
        <v>Small</v>
      </c>
      <c r="H340" s="2" t="s">
        <v>33</v>
      </c>
      <c r="I340" s="2">
        <v>48.506205999999999</v>
      </c>
      <c r="J340" s="2">
        <v>20.565308000000002</v>
      </c>
      <c r="K340" s="2" t="str">
        <f t="shared" si="21"/>
        <v>Available</v>
      </c>
      <c r="L340" s="2" t="s">
        <v>10</v>
      </c>
      <c r="M340" s="3">
        <v>45374</v>
      </c>
      <c r="N340" s="3" t="str">
        <f t="shared" si="22"/>
        <v>March</v>
      </c>
      <c r="O340" s="2" t="s">
        <v>6</v>
      </c>
      <c r="P340" t="str">
        <f t="shared" si="23"/>
        <v>OK</v>
      </c>
    </row>
    <row r="341" spans="1:16" x14ac:dyDescent="0.3">
      <c r="A341" s="2">
        <f t="shared" si="20"/>
        <v>340</v>
      </c>
      <c r="B341" s="2" t="s">
        <v>30</v>
      </c>
      <c r="C341" s="2" t="s">
        <v>7</v>
      </c>
      <c r="D341" s="1">
        <v>1.1000000000000001</v>
      </c>
      <c r="E341" s="1" t="str" cm="1">
        <f t="array" ref="E341">_xlfn.IFS(
D341&lt;20,"Light",
D341&lt;50,"Medium",
D341&lt;100,"Heavy",
D341&gt;=100,"Very Heavy")</f>
        <v>Light</v>
      </c>
      <c r="F341" s="2">
        <v>22</v>
      </c>
      <c r="G341" s="2" t="str" cm="1">
        <f t="array" ref="G341">_xlfn.IFS(
F341&lt;50,"Small",
F341&lt;100,"Medium",
F341&lt;150,"Large",
F341&gt;=150,"Very Large"
)</f>
        <v>Small</v>
      </c>
      <c r="H341" s="2" t="s">
        <v>32</v>
      </c>
      <c r="I341" s="2">
        <v>48.505090000000003</v>
      </c>
      <c r="J341" s="2">
        <v>20.539448</v>
      </c>
      <c r="K341" s="2" t="str">
        <f t="shared" si="21"/>
        <v>Available</v>
      </c>
      <c r="L341" s="2" t="s">
        <v>10</v>
      </c>
      <c r="M341" s="3">
        <v>45374</v>
      </c>
      <c r="N341" s="3" t="str">
        <f t="shared" si="22"/>
        <v>March</v>
      </c>
      <c r="O341" s="2" t="s">
        <v>6</v>
      </c>
      <c r="P341" t="str">
        <f t="shared" si="23"/>
        <v>OK</v>
      </c>
    </row>
    <row r="342" spans="1:16" x14ac:dyDescent="0.3">
      <c r="A342" s="2">
        <f t="shared" si="20"/>
        <v>341</v>
      </c>
      <c r="B342" s="2" t="s">
        <v>30</v>
      </c>
      <c r="C342" s="2" t="s">
        <v>4</v>
      </c>
      <c r="D342" s="1">
        <v>0.8</v>
      </c>
      <c r="E342" s="1" t="str" cm="1">
        <f t="array" ref="E342">_xlfn.IFS(
D342&lt;20,"Light",
D342&lt;50,"Medium",
D342&lt;100,"Heavy",
D342&gt;=100,"Very Heavy")</f>
        <v>Light</v>
      </c>
      <c r="F342" s="2">
        <v>20</v>
      </c>
      <c r="G342" s="2" t="str" cm="1">
        <f t="array" ref="G342">_xlfn.IFS(
F342&lt;50,"Small",
F342&lt;100,"Medium",
F342&lt;150,"Large",
F342&gt;=150,"Very Large"
)</f>
        <v>Small</v>
      </c>
      <c r="H342" s="2" t="s">
        <v>33</v>
      </c>
      <c r="I342" s="2">
        <v>52.215038999999997</v>
      </c>
      <c r="J342" s="2">
        <v>21.032591</v>
      </c>
      <c r="K342" s="2" t="str">
        <f t="shared" si="21"/>
        <v>Available</v>
      </c>
      <c r="L342" s="2" t="s">
        <v>10</v>
      </c>
      <c r="M342" s="3">
        <v>45374</v>
      </c>
      <c r="N342" s="3" t="str">
        <f t="shared" si="22"/>
        <v>March</v>
      </c>
      <c r="O342" s="2" t="s">
        <v>6</v>
      </c>
      <c r="P342" t="str">
        <f t="shared" si="23"/>
        <v>OK</v>
      </c>
    </row>
    <row r="343" spans="1:16" x14ac:dyDescent="0.3">
      <c r="A343" s="2">
        <f t="shared" si="20"/>
        <v>342</v>
      </c>
      <c r="B343" s="2" t="s">
        <v>30</v>
      </c>
      <c r="C343" s="2" t="s">
        <v>4</v>
      </c>
      <c r="D343" s="1">
        <v>0.5</v>
      </c>
      <c r="E343" s="1" t="str" cm="1">
        <f t="array" ref="E343">_xlfn.IFS(
D343&lt;20,"Light",
D343&lt;50,"Medium",
D343&lt;100,"Heavy",
D343&gt;=100,"Very Heavy")</f>
        <v>Light</v>
      </c>
      <c r="F343" s="2">
        <v>19</v>
      </c>
      <c r="G343" s="2" t="str" cm="1">
        <f t="array" ref="G343">_xlfn.IFS(
F343&lt;50,"Small",
F343&lt;100,"Medium",
F343&lt;150,"Large",
F343&gt;=150,"Very Large"
)</f>
        <v>Small</v>
      </c>
      <c r="H343" s="2" t="s">
        <v>33</v>
      </c>
      <c r="I343" s="2">
        <v>52.215085000000002</v>
      </c>
      <c r="J343" s="2">
        <v>21.034198</v>
      </c>
      <c r="K343" s="2" t="str">
        <f t="shared" si="21"/>
        <v>Available</v>
      </c>
      <c r="L343" s="2" t="s">
        <v>10</v>
      </c>
      <c r="M343" s="3">
        <v>45374</v>
      </c>
      <c r="N343" s="3" t="str">
        <f t="shared" si="22"/>
        <v>March</v>
      </c>
      <c r="O343" s="2" t="s">
        <v>6</v>
      </c>
      <c r="P343" t="str">
        <f t="shared" si="23"/>
        <v>OK</v>
      </c>
    </row>
    <row r="344" spans="1:16" x14ac:dyDescent="0.3">
      <c r="A344" s="2">
        <f t="shared" si="20"/>
        <v>343</v>
      </c>
      <c r="B344" s="2" t="s">
        <v>29</v>
      </c>
      <c r="C344" s="2" t="s">
        <v>4</v>
      </c>
      <c r="D344" s="1">
        <v>0.34799999999999998</v>
      </c>
      <c r="E344" s="1" t="str" cm="1">
        <f t="array" ref="E344">_xlfn.IFS(
D344&lt;20,"Light",
D344&lt;50,"Medium",
D344&lt;100,"Heavy",
D344&gt;=100,"Very Heavy")</f>
        <v>Light</v>
      </c>
      <c r="F344" s="2">
        <v>20</v>
      </c>
      <c r="G344" s="2" t="str" cm="1">
        <f t="array" ref="G344">_xlfn.IFS(
F344&lt;50,"Small",
F344&lt;100,"Medium",
F344&lt;150,"Large",
F344&gt;=150,"Very Large"
)</f>
        <v>Small</v>
      </c>
      <c r="H344" s="2" t="s">
        <v>33</v>
      </c>
      <c r="I344" s="2">
        <v>50.04186</v>
      </c>
      <c r="J344" s="2">
        <v>19.950192000000001</v>
      </c>
      <c r="K344" s="2" t="str">
        <f t="shared" si="21"/>
        <v>Available</v>
      </c>
      <c r="L344" s="2" t="s">
        <v>10</v>
      </c>
      <c r="M344" s="3">
        <v>45374</v>
      </c>
      <c r="N344" s="3" t="str">
        <f t="shared" si="22"/>
        <v>March</v>
      </c>
      <c r="O344" s="2" t="s">
        <v>6</v>
      </c>
      <c r="P344" t="str">
        <f t="shared" si="23"/>
        <v>OK</v>
      </c>
    </row>
    <row r="345" spans="1:16" x14ac:dyDescent="0.3">
      <c r="A345" s="2">
        <f t="shared" si="20"/>
        <v>344</v>
      </c>
      <c r="B345" s="2" t="s">
        <v>29</v>
      </c>
      <c r="C345" s="2" t="s">
        <v>7</v>
      </c>
      <c r="D345" s="1">
        <v>0.30099999999999999</v>
      </c>
      <c r="E345" s="1" t="str" cm="1">
        <f t="array" ref="E345">_xlfn.IFS(
D345&lt;20,"Light",
D345&lt;50,"Medium",
D345&lt;100,"Heavy",
D345&gt;=100,"Very Heavy")</f>
        <v>Light</v>
      </c>
      <c r="F345" s="2">
        <v>18</v>
      </c>
      <c r="G345" s="2" t="str" cm="1">
        <f t="array" ref="G345">_xlfn.IFS(
F345&lt;50,"Small",
F345&lt;100,"Medium",
F345&lt;150,"Large",
F345&gt;=150,"Very Large"
)</f>
        <v>Small</v>
      </c>
      <c r="H345" s="2" t="s">
        <v>32</v>
      </c>
      <c r="I345" s="2">
        <v>47.510260000000002</v>
      </c>
      <c r="J345" s="2">
        <v>18.947838000000001</v>
      </c>
      <c r="K345" s="2" t="str">
        <f t="shared" si="21"/>
        <v>Available</v>
      </c>
      <c r="L345" s="2" t="s">
        <v>10</v>
      </c>
      <c r="M345" s="3">
        <v>45374</v>
      </c>
      <c r="N345" s="3" t="str">
        <f t="shared" si="22"/>
        <v>March</v>
      </c>
      <c r="O345" s="2" t="s">
        <v>6</v>
      </c>
      <c r="P345" t="str">
        <f t="shared" si="23"/>
        <v>OK</v>
      </c>
    </row>
    <row r="346" spans="1:16" x14ac:dyDescent="0.3">
      <c r="A346" s="2">
        <f t="shared" si="20"/>
        <v>345</v>
      </c>
      <c r="B346" s="2" t="s">
        <v>30</v>
      </c>
      <c r="C346" s="2" t="s">
        <v>15</v>
      </c>
      <c r="D346" s="1">
        <v>0.7</v>
      </c>
      <c r="E346" s="1" t="str" cm="1">
        <f t="array" ref="E346">_xlfn.IFS(
D346&lt;20,"Light",
D346&lt;50,"Medium",
D346&lt;100,"Heavy",
D346&gt;=100,"Very Heavy")</f>
        <v>Light</v>
      </c>
      <c r="F346" s="2">
        <v>20</v>
      </c>
      <c r="G346" s="2" t="str" cm="1">
        <f t="array" ref="G346">_xlfn.IFS(
F346&lt;50,"Small",
F346&lt;100,"Medium",
F346&lt;150,"Large",
F346&gt;=150,"Very Large"
)</f>
        <v>Small</v>
      </c>
      <c r="H346" s="2" t="s">
        <v>33</v>
      </c>
      <c r="I346" s="2">
        <v>49.937454000000002</v>
      </c>
      <c r="J346" s="2">
        <v>14.182121</v>
      </c>
      <c r="K346" s="2" t="str">
        <f t="shared" si="21"/>
        <v>Available</v>
      </c>
      <c r="L346" s="2" t="s">
        <v>10</v>
      </c>
      <c r="M346" s="3">
        <v>45374</v>
      </c>
      <c r="N346" s="3" t="str">
        <f t="shared" si="22"/>
        <v>March</v>
      </c>
      <c r="O346" s="2" t="s">
        <v>14</v>
      </c>
      <c r="P346" t="str">
        <f t="shared" si="23"/>
        <v>OK</v>
      </c>
    </row>
    <row r="347" spans="1:16" x14ac:dyDescent="0.3">
      <c r="A347" s="2">
        <f t="shared" si="20"/>
        <v>346</v>
      </c>
      <c r="B347" s="2" t="s">
        <v>30</v>
      </c>
      <c r="C347" s="2" t="s">
        <v>15</v>
      </c>
      <c r="D347" s="1">
        <v>1</v>
      </c>
      <c r="E347" s="1" t="str" cm="1">
        <f t="array" ref="E347">_xlfn.IFS(
D347&lt;20,"Light",
D347&lt;50,"Medium",
D347&lt;100,"Heavy",
D347&gt;=100,"Very Heavy")</f>
        <v>Light</v>
      </c>
      <c r="F347" s="2">
        <v>21</v>
      </c>
      <c r="G347" s="2" t="str" cm="1">
        <f t="array" ref="G347">_xlfn.IFS(
F347&lt;50,"Small",
F347&lt;100,"Medium",
F347&lt;150,"Large",
F347&gt;=150,"Very Large"
)</f>
        <v>Small</v>
      </c>
      <c r="H347" s="2" t="s">
        <v>33</v>
      </c>
      <c r="I347" s="2">
        <v>49.937787999999998</v>
      </c>
      <c r="J347" s="2">
        <v>14.180368</v>
      </c>
      <c r="K347" s="2" t="str">
        <f t="shared" si="21"/>
        <v>Available</v>
      </c>
      <c r="L347" s="2" t="s">
        <v>10</v>
      </c>
      <c r="M347" s="3">
        <v>45374</v>
      </c>
      <c r="N347" s="3" t="str">
        <f t="shared" si="22"/>
        <v>March</v>
      </c>
      <c r="O347" s="2" t="s">
        <v>14</v>
      </c>
      <c r="P347" t="str">
        <f t="shared" si="23"/>
        <v>OK</v>
      </c>
    </row>
    <row r="348" spans="1:16" x14ac:dyDescent="0.3">
      <c r="A348" s="2">
        <f t="shared" si="20"/>
        <v>347</v>
      </c>
      <c r="B348" s="2" t="s">
        <v>29</v>
      </c>
      <c r="C348" s="2" t="s">
        <v>4</v>
      </c>
      <c r="D348" s="1">
        <v>0.28599999999999998</v>
      </c>
      <c r="E348" s="1" t="str" cm="1">
        <f t="array" ref="E348">_xlfn.IFS(
D348&lt;20,"Light",
D348&lt;50,"Medium",
D348&lt;100,"Heavy",
D348&gt;=100,"Very Heavy")</f>
        <v>Light</v>
      </c>
      <c r="F348" s="2">
        <v>20</v>
      </c>
      <c r="G348" s="2" t="str" cm="1">
        <f t="array" ref="G348">_xlfn.IFS(
F348&lt;50,"Small",
F348&lt;100,"Medium",
F348&lt;150,"Large",
F348&gt;=150,"Very Large"
)</f>
        <v>Small</v>
      </c>
      <c r="H348" s="2" t="s">
        <v>33</v>
      </c>
      <c r="I348" s="2">
        <v>50.041130000000003</v>
      </c>
      <c r="J348" s="2">
        <v>19.949698000000001</v>
      </c>
      <c r="K348" s="2" t="str">
        <f t="shared" si="21"/>
        <v>Available</v>
      </c>
      <c r="L348" s="2" t="s">
        <v>10</v>
      </c>
      <c r="M348" s="3">
        <v>45375</v>
      </c>
      <c r="N348" s="3" t="str">
        <f t="shared" si="22"/>
        <v>March</v>
      </c>
      <c r="O348" s="2" t="s">
        <v>6</v>
      </c>
      <c r="P348" t="str">
        <f t="shared" si="23"/>
        <v>OK</v>
      </c>
    </row>
    <row r="349" spans="1:16" x14ac:dyDescent="0.3">
      <c r="A349" s="2">
        <f t="shared" si="20"/>
        <v>348</v>
      </c>
      <c r="B349" s="2" t="s">
        <v>29</v>
      </c>
      <c r="C349" s="2" t="s">
        <v>4</v>
      </c>
      <c r="D349" s="1">
        <v>0.28199999999999997</v>
      </c>
      <c r="E349" s="1" t="str" cm="1">
        <f t="array" ref="E349">_xlfn.IFS(
D349&lt;20,"Light",
D349&lt;50,"Medium",
D349&lt;100,"Heavy",
D349&gt;=100,"Very Heavy")</f>
        <v>Light</v>
      </c>
      <c r="F349" s="2">
        <v>21</v>
      </c>
      <c r="G349" s="2" t="str" cm="1">
        <f t="array" ref="G349">_xlfn.IFS(
F349&lt;50,"Small",
F349&lt;100,"Medium",
F349&lt;150,"Large",
F349&gt;=150,"Very Large"
)</f>
        <v>Small</v>
      </c>
      <c r="H349" s="2" t="s">
        <v>33</v>
      </c>
      <c r="I349" s="2">
        <v>50.041522000000001</v>
      </c>
      <c r="J349" s="2">
        <v>19.950562999999999</v>
      </c>
      <c r="K349" s="2" t="str">
        <f t="shared" si="21"/>
        <v>Available</v>
      </c>
      <c r="L349" s="2" t="s">
        <v>19</v>
      </c>
      <c r="M349" s="3">
        <v>45375</v>
      </c>
      <c r="N349" s="3" t="str">
        <f t="shared" si="22"/>
        <v>March</v>
      </c>
      <c r="O349" s="2" t="s">
        <v>6</v>
      </c>
      <c r="P349" t="str">
        <f t="shared" si="23"/>
        <v>OK</v>
      </c>
    </row>
    <row r="350" spans="1:16" x14ac:dyDescent="0.3">
      <c r="A350" s="2">
        <f t="shared" si="20"/>
        <v>349</v>
      </c>
      <c r="B350" s="2" t="s">
        <v>30</v>
      </c>
      <c r="C350" s="2" t="s">
        <v>17</v>
      </c>
      <c r="D350" s="1">
        <v>0.8</v>
      </c>
      <c r="E350" s="1" t="str" cm="1">
        <f t="array" ref="E350">_xlfn.IFS(
D350&lt;20,"Light",
D350&lt;50,"Medium",
D350&lt;100,"Heavy",
D350&gt;=100,"Very Heavy")</f>
        <v>Light</v>
      </c>
      <c r="F350" s="2">
        <v>18</v>
      </c>
      <c r="G350" s="2" t="str" cm="1">
        <f t="array" ref="G350">_xlfn.IFS(
F350&lt;50,"Small",
F350&lt;100,"Medium",
F350&lt;150,"Large",
F350&gt;=150,"Very Large"
)</f>
        <v>Small</v>
      </c>
      <c r="H350" s="2" t="s">
        <v>32</v>
      </c>
      <c r="I350" s="2">
        <v>47.781882000000003</v>
      </c>
      <c r="J350" s="2">
        <v>14.384802000000001</v>
      </c>
      <c r="K350" s="2" t="str">
        <f t="shared" si="21"/>
        <v>Available</v>
      </c>
      <c r="L350" s="2" t="s">
        <v>10</v>
      </c>
      <c r="M350" s="3">
        <v>45375</v>
      </c>
      <c r="N350" s="3" t="str">
        <f t="shared" si="22"/>
        <v>March</v>
      </c>
      <c r="O350" s="2" t="s">
        <v>12</v>
      </c>
      <c r="P350" t="str">
        <f t="shared" si="23"/>
        <v>OK</v>
      </c>
    </row>
    <row r="351" spans="1:16" x14ac:dyDescent="0.3">
      <c r="A351" s="2">
        <f t="shared" si="20"/>
        <v>350</v>
      </c>
      <c r="B351" s="2" t="s">
        <v>30</v>
      </c>
      <c r="C351" s="2" t="s">
        <v>17</v>
      </c>
      <c r="D351" s="1">
        <v>0.6</v>
      </c>
      <c r="E351" s="1" t="str" cm="1">
        <f t="array" ref="E351">_xlfn.IFS(
D351&lt;20,"Light",
D351&lt;50,"Medium",
D351&lt;100,"Heavy",
D351&gt;=100,"Very Heavy")</f>
        <v>Light</v>
      </c>
      <c r="F351" s="2">
        <v>19</v>
      </c>
      <c r="G351" s="2" t="str" cm="1">
        <f t="array" ref="G351">_xlfn.IFS(
F351&lt;50,"Small",
F351&lt;100,"Medium",
F351&lt;150,"Large",
F351&gt;=150,"Very Large"
)</f>
        <v>Small</v>
      </c>
      <c r="H351" s="2" t="s">
        <v>32</v>
      </c>
      <c r="I351" s="2">
        <v>47.781019000000001</v>
      </c>
      <c r="J351" s="2">
        <v>14.385089000000001</v>
      </c>
      <c r="K351" s="2" t="str">
        <f t="shared" si="21"/>
        <v>Available</v>
      </c>
      <c r="L351" s="2" t="s">
        <v>10</v>
      </c>
      <c r="M351" s="3">
        <v>45375</v>
      </c>
      <c r="N351" s="3" t="str">
        <f t="shared" si="22"/>
        <v>March</v>
      </c>
      <c r="O351" s="2" t="s">
        <v>12</v>
      </c>
      <c r="P351" t="str">
        <f t="shared" si="23"/>
        <v>OK</v>
      </c>
    </row>
    <row r="352" spans="1:16" x14ac:dyDescent="0.3">
      <c r="A352" s="2">
        <f t="shared" si="20"/>
        <v>351</v>
      </c>
      <c r="B352" s="2" t="s">
        <v>30</v>
      </c>
      <c r="C352" s="2" t="s">
        <v>17</v>
      </c>
      <c r="D352" s="1">
        <v>0.5</v>
      </c>
      <c r="E352" s="1" t="str" cm="1">
        <f t="array" ref="E352">_xlfn.IFS(
D352&lt;20,"Light",
D352&lt;50,"Medium",
D352&lt;100,"Heavy",
D352&gt;=100,"Very Heavy")</f>
        <v>Light</v>
      </c>
      <c r="F352" s="2">
        <v>20</v>
      </c>
      <c r="G352" s="2" t="str" cm="1">
        <f t="array" ref="G352">_xlfn.IFS(
F352&lt;50,"Small",
F352&lt;100,"Medium",
F352&lt;150,"Large",
F352&gt;=150,"Very Large"
)</f>
        <v>Small</v>
      </c>
      <c r="H352" s="2" t="s">
        <v>32</v>
      </c>
      <c r="I352" s="2">
        <v>47.319781999999996</v>
      </c>
      <c r="J352" s="2">
        <v>11.190835999999999</v>
      </c>
      <c r="K352" s="2" t="str">
        <f t="shared" si="21"/>
        <v>Available</v>
      </c>
      <c r="L352" s="2" t="s">
        <v>10</v>
      </c>
      <c r="M352" s="3">
        <v>45375</v>
      </c>
      <c r="N352" s="3" t="str">
        <f t="shared" si="22"/>
        <v>March</v>
      </c>
      <c r="O352" s="2" t="s">
        <v>12</v>
      </c>
      <c r="P352" t="str">
        <f t="shared" si="23"/>
        <v>OK</v>
      </c>
    </row>
    <row r="353" spans="1:16" x14ac:dyDescent="0.3">
      <c r="A353" s="2">
        <f t="shared" si="20"/>
        <v>352</v>
      </c>
      <c r="B353" s="2" t="s">
        <v>30</v>
      </c>
      <c r="C353" s="2" t="s">
        <v>17</v>
      </c>
      <c r="D353" s="1">
        <v>0.6</v>
      </c>
      <c r="E353" s="1" t="str" cm="1">
        <f t="array" ref="E353">_xlfn.IFS(
D353&lt;20,"Light",
D353&lt;50,"Medium",
D353&lt;100,"Heavy",
D353&gt;=100,"Very Heavy")</f>
        <v>Light</v>
      </c>
      <c r="F353" s="2">
        <v>16</v>
      </c>
      <c r="G353" s="2" t="str" cm="1">
        <f t="array" ref="G353">_xlfn.IFS(
F353&lt;50,"Small",
F353&lt;100,"Medium",
F353&lt;150,"Large",
F353&gt;=150,"Very Large"
)</f>
        <v>Small</v>
      </c>
      <c r="H353" s="2" t="s">
        <v>33</v>
      </c>
      <c r="I353" s="2">
        <v>47.32002</v>
      </c>
      <c r="J353" s="2">
        <v>11.18557</v>
      </c>
      <c r="K353" s="2" t="str">
        <f t="shared" si="21"/>
        <v>Available</v>
      </c>
      <c r="L353" s="2" t="s">
        <v>10</v>
      </c>
      <c r="M353" s="3">
        <v>45375</v>
      </c>
      <c r="N353" s="3" t="str">
        <f t="shared" si="22"/>
        <v>March</v>
      </c>
      <c r="O353" s="2" t="s">
        <v>12</v>
      </c>
      <c r="P353" t="str">
        <f t="shared" si="23"/>
        <v>OK</v>
      </c>
    </row>
    <row r="354" spans="1:16" x14ac:dyDescent="0.3">
      <c r="A354" s="2">
        <f t="shared" si="20"/>
        <v>353</v>
      </c>
      <c r="B354" s="2" t="s">
        <v>30</v>
      </c>
      <c r="C354" s="2" t="s">
        <v>17</v>
      </c>
      <c r="D354" s="1">
        <v>0.6</v>
      </c>
      <c r="E354" s="1" t="str" cm="1">
        <f t="array" ref="E354">_xlfn.IFS(
D354&lt;20,"Light",
D354&lt;50,"Medium",
D354&lt;100,"Heavy",
D354&gt;=100,"Very Heavy")</f>
        <v>Light</v>
      </c>
      <c r="F354" s="2">
        <v>20</v>
      </c>
      <c r="G354" s="2" t="str" cm="1">
        <f t="array" ref="G354">_xlfn.IFS(
F354&lt;50,"Small",
F354&lt;100,"Medium",
F354&lt;150,"Large",
F354&gt;=150,"Very Large"
)</f>
        <v>Small</v>
      </c>
      <c r="H354" s="2" t="s">
        <v>32</v>
      </c>
      <c r="I354" s="2">
        <v>47.318792999999999</v>
      </c>
      <c r="J354" s="2">
        <v>11.185855</v>
      </c>
      <c r="K354" s="2" t="str">
        <f t="shared" si="21"/>
        <v>Available</v>
      </c>
      <c r="L354" s="2" t="s">
        <v>10</v>
      </c>
      <c r="M354" s="3">
        <v>45375</v>
      </c>
      <c r="N354" s="3" t="str">
        <f t="shared" si="22"/>
        <v>March</v>
      </c>
      <c r="O354" s="2" t="s">
        <v>12</v>
      </c>
      <c r="P354" t="str">
        <f t="shared" si="23"/>
        <v>OK</v>
      </c>
    </row>
    <row r="355" spans="1:16" x14ac:dyDescent="0.3">
      <c r="A355" s="2">
        <f t="shared" si="20"/>
        <v>354</v>
      </c>
      <c r="B355" s="2" t="s">
        <v>30</v>
      </c>
      <c r="C355" s="2" t="s">
        <v>17</v>
      </c>
      <c r="D355" s="1">
        <v>1.1000000000000001</v>
      </c>
      <c r="E355" s="1" t="str" cm="1">
        <f t="array" ref="E355">_xlfn.IFS(
D355&lt;20,"Light",
D355&lt;50,"Medium",
D355&lt;100,"Heavy",
D355&gt;=100,"Very Heavy")</f>
        <v>Light</v>
      </c>
      <c r="F355" s="2">
        <v>23</v>
      </c>
      <c r="G355" s="2" t="str" cm="1">
        <f t="array" ref="G355">_xlfn.IFS(
F355&lt;50,"Small",
F355&lt;100,"Medium",
F355&lt;150,"Large",
F355&gt;=150,"Very Large"
)</f>
        <v>Small</v>
      </c>
      <c r="H355" s="2" t="s">
        <v>33</v>
      </c>
      <c r="I355" s="2">
        <v>47.316963000000001</v>
      </c>
      <c r="J355" s="2">
        <v>11.188761</v>
      </c>
      <c r="K355" s="2" t="str">
        <f t="shared" si="21"/>
        <v>Available</v>
      </c>
      <c r="L355" s="2" t="s">
        <v>10</v>
      </c>
      <c r="M355" s="3">
        <v>45375</v>
      </c>
      <c r="N355" s="3" t="str">
        <f t="shared" si="22"/>
        <v>March</v>
      </c>
      <c r="O355" s="2" t="s">
        <v>12</v>
      </c>
      <c r="P355" t="str">
        <f t="shared" si="23"/>
        <v>OK</v>
      </c>
    </row>
    <row r="356" spans="1:16" x14ac:dyDescent="0.3">
      <c r="A356" s="2">
        <f t="shared" si="20"/>
        <v>355</v>
      </c>
      <c r="B356" s="2" t="s">
        <v>30</v>
      </c>
      <c r="C356" s="2" t="s">
        <v>11</v>
      </c>
      <c r="D356" s="1">
        <v>0.8</v>
      </c>
      <c r="E356" s="1" t="str" cm="1">
        <f t="array" ref="E356">_xlfn.IFS(
D356&lt;20,"Light",
D356&lt;50,"Medium",
D356&lt;100,"Heavy",
D356&gt;=100,"Very Heavy")</f>
        <v>Light</v>
      </c>
      <c r="F356" s="2">
        <v>16</v>
      </c>
      <c r="G356" s="2" t="str" cm="1">
        <f t="array" ref="G356">_xlfn.IFS(
F356&lt;50,"Small",
F356&lt;100,"Medium",
F356&lt;150,"Large",
F356&gt;=150,"Very Large"
)</f>
        <v>Small</v>
      </c>
      <c r="H356" s="2" t="s">
        <v>32</v>
      </c>
      <c r="I356" s="2">
        <v>52.582071999999997</v>
      </c>
      <c r="J356" s="2">
        <v>13.149184999999999</v>
      </c>
      <c r="K356" s="2" t="str">
        <f t="shared" si="21"/>
        <v>Available</v>
      </c>
      <c r="L356" s="2" t="s">
        <v>10</v>
      </c>
      <c r="M356" s="3">
        <v>45375</v>
      </c>
      <c r="N356" s="3" t="str">
        <f t="shared" si="22"/>
        <v>March</v>
      </c>
      <c r="O356" s="2" t="s">
        <v>12</v>
      </c>
      <c r="P356" t="str">
        <f t="shared" si="23"/>
        <v>OK</v>
      </c>
    </row>
    <row r="357" spans="1:16" x14ac:dyDescent="0.3">
      <c r="A357" s="2">
        <f t="shared" si="20"/>
        <v>356</v>
      </c>
      <c r="B357" s="2" t="s">
        <v>30</v>
      </c>
      <c r="C357" s="2" t="s">
        <v>11</v>
      </c>
      <c r="D357" s="1">
        <v>1.2</v>
      </c>
      <c r="E357" s="1" t="str" cm="1">
        <f t="array" ref="E357">_xlfn.IFS(
D357&lt;20,"Light",
D357&lt;50,"Medium",
D357&lt;100,"Heavy",
D357&gt;=100,"Very Heavy")</f>
        <v>Light</v>
      </c>
      <c r="F357" s="2">
        <v>23</v>
      </c>
      <c r="G357" s="2" t="str" cm="1">
        <f t="array" ref="G357">_xlfn.IFS(
F357&lt;50,"Small",
F357&lt;100,"Medium",
F357&lt;150,"Large",
F357&gt;=150,"Very Large"
)</f>
        <v>Small</v>
      </c>
      <c r="H357" s="2" t="s">
        <v>32</v>
      </c>
      <c r="I357" s="2">
        <v>52.585720000000002</v>
      </c>
      <c r="J357" s="2">
        <v>13.148612999999999</v>
      </c>
      <c r="K357" s="2" t="str">
        <f t="shared" si="21"/>
        <v>Available</v>
      </c>
      <c r="L357" s="2" t="s">
        <v>10</v>
      </c>
      <c r="M357" s="3">
        <v>45375</v>
      </c>
      <c r="N357" s="3" t="str">
        <f t="shared" si="22"/>
        <v>March</v>
      </c>
      <c r="O357" s="2" t="s">
        <v>12</v>
      </c>
      <c r="P357" t="str">
        <f t="shared" si="23"/>
        <v>OK</v>
      </c>
    </row>
    <row r="358" spans="1:16" x14ac:dyDescent="0.3">
      <c r="A358" s="2">
        <f t="shared" si="20"/>
        <v>357</v>
      </c>
      <c r="B358" s="2" t="s">
        <v>30</v>
      </c>
      <c r="C358" s="2" t="s">
        <v>11</v>
      </c>
      <c r="D358" s="1">
        <v>0.7</v>
      </c>
      <c r="E358" s="1" t="str" cm="1">
        <f t="array" ref="E358">_xlfn.IFS(
D358&lt;20,"Light",
D358&lt;50,"Medium",
D358&lt;100,"Heavy",
D358&gt;=100,"Very Heavy")</f>
        <v>Light</v>
      </c>
      <c r="F358" s="2">
        <v>19</v>
      </c>
      <c r="G358" s="2" t="str" cm="1">
        <f t="array" ref="G358">_xlfn.IFS(
F358&lt;50,"Small",
F358&lt;100,"Medium",
F358&lt;150,"Large",
F358&gt;=150,"Very Large"
)</f>
        <v>Small</v>
      </c>
      <c r="H358" s="2" t="s">
        <v>33</v>
      </c>
      <c r="I358" s="2">
        <v>52.587826999999997</v>
      </c>
      <c r="J358" s="2">
        <v>13.148164</v>
      </c>
      <c r="K358" s="2" t="str">
        <f t="shared" si="21"/>
        <v>Available</v>
      </c>
      <c r="L358" s="2" t="s">
        <v>10</v>
      </c>
      <c r="M358" s="3">
        <v>45375</v>
      </c>
      <c r="N358" s="3" t="str">
        <f t="shared" si="22"/>
        <v>March</v>
      </c>
      <c r="O358" s="2" t="s">
        <v>12</v>
      </c>
      <c r="P358" t="str">
        <f t="shared" si="23"/>
        <v>OK</v>
      </c>
    </row>
    <row r="359" spans="1:16" x14ac:dyDescent="0.3">
      <c r="A359" s="2">
        <f t="shared" si="20"/>
        <v>358</v>
      </c>
      <c r="B359" s="2" t="s">
        <v>30</v>
      </c>
      <c r="C359" s="2" t="s">
        <v>11</v>
      </c>
      <c r="D359" s="1">
        <v>0.9</v>
      </c>
      <c r="E359" s="1" t="str" cm="1">
        <f t="array" ref="E359">_xlfn.IFS(
D359&lt;20,"Light",
D359&lt;50,"Medium",
D359&lt;100,"Heavy",
D359&gt;=100,"Very Heavy")</f>
        <v>Light</v>
      </c>
      <c r="F359" s="2">
        <v>18.410447761194</v>
      </c>
      <c r="G359" s="2" t="str" cm="1">
        <f t="array" ref="G359">_xlfn.IFS(
F359&lt;50,"Small",
F359&lt;100,"Medium",
F359&lt;150,"Large",
F359&gt;=150,"Very Large"
)</f>
        <v>Small</v>
      </c>
      <c r="H359" s="2" t="s">
        <v>33</v>
      </c>
      <c r="I359" s="2">
        <v>52.583004000000003</v>
      </c>
      <c r="J359" s="2">
        <v>13.150686</v>
      </c>
      <c r="K359" s="2" t="str">
        <f t="shared" si="21"/>
        <v>Available</v>
      </c>
      <c r="L359" s="2" t="s">
        <v>10</v>
      </c>
      <c r="M359" s="3">
        <v>45375</v>
      </c>
      <c r="N359" s="3" t="str">
        <f t="shared" si="22"/>
        <v>March</v>
      </c>
      <c r="O359" s="2" t="s">
        <v>12</v>
      </c>
      <c r="P359" t="str">
        <f t="shared" si="23"/>
        <v>OK</v>
      </c>
    </row>
    <row r="360" spans="1:16" x14ac:dyDescent="0.3">
      <c r="A360" s="2">
        <f t="shared" si="20"/>
        <v>359</v>
      </c>
      <c r="B360" s="2" t="s">
        <v>30</v>
      </c>
      <c r="C360" s="2" t="s">
        <v>11</v>
      </c>
      <c r="D360" s="1">
        <v>1.2</v>
      </c>
      <c r="E360" s="1" t="str" cm="1">
        <f t="array" ref="E360">_xlfn.IFS(
D360&lt;20,"Light",
D360&lt;50,"Medium",
D360&lt;100,"Heavy",
D360&gt;=100,"Very Heavy")</f>
        <v>Light</v>
      </c>
      <c r="F360" s="2">
        <v>22</v>
      </c>
      <c r="G360" s="2" t="str" cm="1">
        <f t="array" ref="G360">_xlfn.IFS(
F360&lt;50,"Small",
F360&lt;100,"Medium",
F360&lt;150,"Large",
F360&gt;=150,"Very Large"
)</f>
        <v>Small</v>
      </c>
      <c r="H360" s="2" t="s">
        <v>32</v>
      </c>
      <c r="I360" s="2">
        <v>52.587057999999999</v>
      </c>
      <c r="J360" s="2">
        <v>13.149675</v>
      </c>
      <c r="K360" s="2" t="str">
        <f t="shared" si="21"/>
        <v>Available</v>
      </c>
      <c r="L360" s="2" t="s">
        <v>10</v>
      </c>
      <c r="M360" s="3">
        <v>45375</v>
      </c>
      <c r="N360" s="3" t="str">
        <f t="shared" si="22"/>
        <v>March</v>
      </c>
      <c r="O360" s="2" t="s">
        <v>12</v>
      </c>
      <c r="P360" t="str">
        <f t="shared" si="23"/>
        <v>OK</v>
      </c>
    </row>
    <row r="361" spans="1:16" x14ac:dyDescent="0.3">
      <c r="A361" s="2">
        <f t="shared" si="20"/>
        <v>360</v>
      </c>
      <c r="B361" s="2" t="s">
        <v>30</v>
      </c>
      <c r="C361" s="2" t="s">
        <v>11</v>
      </c>
      <c r="D361" s="1">
        <v>0.7</v>
      </c>
      <c r="E361" s="1" t="str" cm="1">
        <f t="array" ref="E361">_xlfn.IFS(
D361&lt;20,"Light",
D361&lt;50,"Medium",
D361&lt;100,"Heavy",
D361&gt;=100,"Very Heavy")</f>
        <v>Light</v>
      </c>
      <c r="F361" s="2">
        <v>16</v>
      </c>
      <c r="G361" s="2" t="str" cm="1">
        <f t="array" ref="G361">_xlfn.IFS(
F361&lt;50,"Small",
F361&lt;100,"Medium",
F361&lt;150,"Large",
F361&gt;=150,"Very Large"
)</f>
        <v>Small</v>
      </c>
      <c r="H361" s="2" t="s">
        <v>33</v>
      </c>
      <c r="I361" s="2">
        <v>52.587539</v>
      </c>
      <c r="J361" s="2">
        <v>13.146575</v>
      </c>
      <c r="K361" s="2" t="str">
        <f t="shared" si="21"/>
        <v>Available</v>
      </c>
      <c r="L361" s="2" t="s">
        <v>10</v>
      </c>
      <c r="M361" s="3">
        <v>45375</v>
      </c>
      <c r="N361" s="3" t="str">
        <f t="shared" si="22"/>
        <v>March</v>
      </c>
      <c r="O361" s="2" t="s">
        <v>12</v>
      </c>
      <c r="P361" t="str">
        <f t="shared" si="23"/>
        <v>OK</v>
      </c>
    </row>
    <row r="362" spans="1:16" x14ac:dyDescent="0.3">
      <c r="A362" s="2">
        <f t="shared" si="20"/>
        <v>361</v>
      </c>
      <c r="B362" s="2" t="s">
        <v>30</v>
      </c>
      <c r="C362" s="2" t="s">
        <v>11</v>
      </c>
      <c r="D362" s="1">
        <v>0.6</v>
      </c>
      <c r="E362" s="1" t="str" cm="1">
        <f t="array" ref="E362">_xlfn.IFS(
D362&lt;20,"Light",
D362&lt;50,"Medium",
D362&lt;100,"Heavy",
D362&gt;=100,"Very Heavy")</f>
        <v>Light</v>
      </c>
      <c r="F362" s="2">
        <v>25</v>
      </c>
      <c r="G362" s="2" t="str" cm="1">
        <f t="array" ref="G362">_xlfn.IFS(
F362&lt;50,"Small",
F362&lt;100,"Medium",
F362&lt;150,"Large",
F362&gt;=150,"Very Large"
)</f>
        <v>Small</v>
      </c>
      <c r="H362" s="2" t="s">
        <v>32</v>
      </c>
      <c r="I362" s="2">
        <v>52.587183000000003</v>
      </c>
      <c r="J362" s="2">
        <v>13.146661</v>
      </c>
      <c r="K362" s="2" t="str">
        <f t="shared" si="21"/>
        <v>Available</v>
      </c>
      <c r="L362" s="2" t="s">
        <v>10</v>
      </c>
      <c r="M362" s="3">
        <v>45375</v>
      </c>
      <c r="N362" s="3" t="str">
        <f t="shared" si="22"/>
        <v>March</v>
      </c>
      <c r="O362" s="2" t="s">
        <v>12</v>
      </c>
      <c r="P362" t="str">
        <f t="shared" si="23"/>
        <v>OK</v>
      </c>
    </row>
    <row r="363" spans="1:16" x14ac:dyDescent="0.3">
      <c r="A363" s="2">
        <f t="shared" si="20"/>
        <v>362</v>
      </c>
      <c r="B363" s="2" t="s">
        <v>30</v>
      </c>
      <c r="C363" s="2" t="s">
        <v>11</v>
      </c>
      <c r="D363" s="1">
        <v>1</v>
      </c>
      <c r="E363" s="1" t="str" cm="1">
        <f t="array" ref="E363">_xlfn.IFS(
D363&lt;20,"Light",
D363&lt;50,"Medium",
D363&lt;100,"Heavy",
D363&gt;=100,"Very Heavy")</f>
        <v>Light</v>
      </c>
      <c r="F363" s="2">
        <v>24</v>
      </c>
      <c r="G363" s="2" t="str" cm="1">
        <f t="array" ref="G363">_xlfn.IFS(
F363&lt;50,"Small",
F363&lt;100,"Medium",
F363&lt;150,"Large",
F363&gt;=150,"Very Large"
)</f>
        <v>Small</v>
      </c>
      <c r="H363" s="2" t="s">
        <v>32</v>
      </c>
      <c r="I363" s="2">
        <v>52.586486999999998</v>
      </c>
      <c r="J363" s="2">
        <v>13.150015</v>
      </c>
      <c r="K363" s="2" t="str">
        <f t="shared" si="21"/>
        <v>Available</v>
      </c>
      <c r="L363" s="2" t="s">
        <v>10</v>
      </c>
      <c r="M363" s="3">
        <v>45375</v>
      </c>
      <c r="N363" s="3" t="str">
        <f t="shared" si="22"/>
        <v>March</v>
      </c>
      <c r="O363" s="2" t="s">
        <v>12</v>
      </c>
      <c r="P363" t="str">
        <f t="shared" si="23"/>
        <v>OK</v>
      </c>
    </row>
    <row r="364" spans="1:16" x14ac:dyDescent="0.3">
      <c r="A364" s="2">
        <f t="shared" si="20"/>
        <v>363</v>
      </c>
      <c r="B364" s="2" t="s">
        <v>29</v>
      </c>
      <c r="C364" s="2" t="s">
        <v>11</v>
      </c>
      <c r="D364" s="1">
        <v>0.313</v>
      </c>
      <c r="E364" s="1" t="str" cm="1">
        <f t="array" ref="E364">_xlfn.IFS(
D364&lt;20,"Light",
D364&lt;50,"Medium",
D364&lt;100,"Heavy",
D364&gt;=100,"Very Heavy")</f>
        <v>Light</v>
      </c>
      <c r="F364" s="2">
        <v>23</v>
      </c>
      <c r="G364" s="2" t="str" cm="1">
        <f t="array" ref="G364">_xlfn.IFS(
F364&lt;50,"Small",
F364&lt;100,"Medium",
F364&lt;150,"Large",
F364&gt;=150,"Very Large"
)</f>
        <v>Small</v>
      </c>
      <c r="H364" s="2" t="s">
        <v>33</v>
      </c>
      <c r="I364" s="2">
        <v>52.588779000000002</v>
      </c>
      <c r="J364" s="2">
        <v>13.147948</v>
      </c>
      <c r="K364" s="2" t="str">
        <f t="shared" si="21"/>
        <v>Available</v>
      </c>
      <c r="L364" s="2" t="s">
        <v>10</v>
      </c>
      <c r="M364" s="3">
        <v>45375</v>
      </c>
      <c r="N364" s="3" t="str">
        <f t="shared" si="22"/>
        <v>March</v>
      </c>
      <c r="O364" s="2" t="s">
        <v>12</v>
      </c>
      <c r="P364" t="str">
        <f t="shared" si="23"/>
        <v>OK</v>
      </c>
    </row>
    <row r="365" spans="1:16" x14ac:dyDescent="0.3">
      <c r="A365" s="2">
        <f t="shared" si="20"/>
        <v>364</v>
      </c>
      <c r="B365" s="2" t="s">
        <v>29</v>
      </c>
      <c r="C365" s="2" t="s">
        <v>11</v>
      </c>
      <c r="D365" s="1">
        <v>0.26800000000000002</v>
      </c>
      <c r="E365" s="1" t="str" cm="1">
        <f t="array" ref="E365">_xlfn.IFS(
D365&lt;20,"Light",
D365&lt;50,"Medium",
D365&lt;100,"Heavy",
D365&gt;=100,"Very Heavy")</f>
        <v>Light</v>
      </c>
      <c r="F365" s="2">
        <v>21</v>
      </c>
      <c r="G365" s="2" t="str" cm="1">
        <f t="array" ref="G365">_xlfn.IFS(
F365&lt;50,"Small",
F365&lt;100,"Medium",
F365&lt;150,"Large",
F365&gt;=150,"Very Large"
)</f>
        <v>Small</v>
      </c>
      <c r="H365" s="2" t="s">
        <v>32</v>
      </c>
      <c r="I365" s="2">
        <v>52.587088999999999</v>
      </c>
      <c r="J365" s="2">
        <v>13.151807</v>
      </c>
      <c r="K365" s="2" t="str">
        <f t="shared" si="21"/>
        <v>Available</v>
      </c>
      <c r="L365" s="2" t="s">
        <v>10</v>
      </c>
      <c r="M365" s="3">
        <v>45375</v>
      </c>
      <c r="N365" s="3" t="str">
        <f t="shared" si="22"/>
        <v>March</v>
      </c>
      <c r="O365" s="2" t="s">
        <v>12</v>
      </c>
      <c r="P365" t="str">
        <f t="shared" si="23"/>
        <v>OK</v>
      </c>
    </row>
    <row r="366" spans="1:16" x14ac:dyDescent="0.3">
      <c r="A366" s="2">
        <f t="shared" si="20"/>
        <v>365</v>
      </c>
      <c r="B366" s="2" t="s">
        <v>29</v>
      </c>
      <c r="C366" s="2" t="s">
        <v>17</v>
      </c>
      <c r="D366" s="1">
        <v>0.32300000000000001</v>
      </c>
      <c r="E366" s="1" t="str" cm="1">
        <f t="array" ref="E366">_xlfn.IFS(
D366&lt;20,"Light",
D366&lt;50,"Medium",
D366&lt;100,"Heavy",
D366&gt;=100,"Very Heavy")</f>
        <v>Light</v>
      </c>
      <c r="F366" s="2">
        <v>21</v>
      </c>
      <c r="G366" s="2" t="str" cm="1">
        <f t="array" ref="G366">_xlfn.IFS(
F366&lt;50,"Small",
F366&lt;100,"Medium",
F366&lt;150,"Large",
F366&gt;=150,"Very Large"
)</f>
        <v>Small</v>
      </c>
      <c r="H366" s="2" t="s">
        <v>32</v>
      </c>
      <c r="I366" s="2">
        <v>47.781846999999999</v>
      </c>
      <c r="J366" s="2">
        <v>14.386835</v>
      </c>
      <c r="K366" s="2" t="str">
        <f t="shared" si="21"/>
        <v>Available</v>
      </c>
      <c r="L366" s="2" t="s">
        <v>10</v>
      </c>
      <c r="M366" s="3">
        <v>45375</v>
      </c>
      <c r="N366" s="3" t="str">
        <f t="shared" si="22"/>
        <v>March</v>
      </c>
      <c r="O366" s="2" t="s">
        <v>12</v>
      </c>
      <c r="P366" t="str">
        <f t="shared" si="23"/>
        <v>OK</v>
      </c>
    </row>
    <row r="367" spans="1:16" x14ac:dyDescent="0.3">
      <c r="A367" s="2">
        <f t="shared" si="20"/>
        <v>366</v>
      </c>
      <c r="B367" s="2" t="s">
        <v>29</v>
      </c>
      <c r="C367" s="2" t="s">
        <v>17</v>
      </c>
      <c r="D367" s="1">
        <v>0.27200000000000002</v>
      </c>
      <c r="E367" s="1" t="str" cm="1">
        <f t="array" ref="E367">_xlfn.IFS(
D367&lt;20,"Light",
D367&lt;50,"Medium",
D367&lt;100,"Heavy",
D367&gt;=100,"Very Heavy")</f>
        <v>Light</v>
      </c>
      <c r="F367" s="2">
        <v>20</v>
      </c>
      <c r="G367" s="2" t="str" cm="1">
        <f t="array" ref="G367">_xlfn.IFS(
F367&lt;50,"Small",
F367&lt;100,"Medium",
F367&lt;150,"Large",
F367&gt;=150,"Very Large"
)</f>
        <v>Small</v>
      </c>
      <c r="H367" s="2" t="s">
        <v>33</v>
      </c>
      <c r="I367" s="2">
        <v>47.781295999999998</v>
      </c>
      <c r="J367" s="2">
        <v>14.383799</v>
      </c>
      <c r="K367" s="2" t="str">
        <f t="shared" si="21"/>
        <v>Available</v>
      </c>
      <c r="L367" s="2" t="s">
        <v>10</v>
      </c>
      <c r="M367" s="3">
        <v>45375</v>
      </c>
      <c r="N367" s="3" t="str">
        <f t="shared" si="22"/>
        <v>March</v>
      </c>
      <c r="O367" s="2" t="s">
        <v>12</v>
      </c>
      <c r="P367" t="str">
        <f t="shared" si="23"/>
        <v>OK</v>
      </c>
    </row>
    <row r="368" spans="1:16" x14ac:dyDescent="0.3">
      <c r="A368" s="2">
        <f t="shared" si="20"/>
        <v>367</v>
      </c>
      <c r="B368" s="2" t="s">
        <v>29</v>
      </c>
      <c r="C368" s="2" t="s">
        <v>17</v>
      </c>
      <c r="D368" s="1">
        <v>0.34</v>
      </c>
      <c r="E368" s="1" t="str" cm="1">
        <f t="array" ref="E368">_xlfn.IFS(
D368&lt;20,"Light",
D368&lt;50,"Medium",
D368&lt;100,"Heavy",
D368&gt;=100,"Very Heavy")</f>
        <v>Light</v>
      </c>
      <c r="F368" s="2">
        <v>20</v>
      </c>
      <c r="G368" s="2" t="str" cm="1">
        <f t="array" ref="G368">_xlfn.IFS(
F368&lt;50,"Small",
F368&lt;100,"Medium",
F368&lt;150,"Large",
F368&gt;=150,"Very Large"
)</f>
        <v>Small</v>
      </c>
      <c r="H368" s="2" t="s">
        <v>32</v>
      </c>
      <c r="I368" s="2">
        <v>47.781537999999998</v>
      </c>
      <c r="J368" s="2">
        <v>14.384561</v>
      </c>
      <c r="K368" s="2" t="str">
        <f t="shared" si="21"/>
        <v>Available</v>
      </c>
      <c r="L368" s="2" t="s">
        <v>10</v>
      </c>
      <c r="M368" s="3">
        <v>45375</v>
      </c>
      <c r="N368" s="3" t="str">
        <f t="shared" si="22"/>
        <v>March</v>
      </c>
      <c r="O368" s="2" t="s">
        <v>12</v>
      </c>
      <c r="P368" t="str">
        <f t="shared" si="23"/>
        <v>OK</v>
      </c>
    </row>
    <row r="369" spans="1:16" x14ac:dyDescent="0.3">
      <c r="A369" s="2">
        <f t="shared" si="20"/>
        <v>368</v>
      </c>
      <c r="B369" s="2" t="s">
        <v>29</v>
      </c>
      <c r="C369" s="2" t="s">
        <v>17</v>
      </c>
      <c r="D369" s="1">
        <v>0.33200000000000002</v>
      </c>
      <c r="E369" s="1" t="str" cm="1">
        <f t="array" ref="E369">_xlfn.IFS(
D369&lt;20,"Light",
D369&lt;50,"Medium",
D369&lt;100,"Heavy",
D369&gt;=100,"Very Heavy")</f>
        <v>Light</v>
      </c>
      <c r="F369" s="2">
        <v>18</v>
      </c>
      <c r="G369" s="2" t="str" cm="1">
        <f t="array" ref="G369">_xlfn.IFS(
F369&lt;50,"Small",
F369&lt;100,"Medium",
F369&lt;150,"Large",
F369&gt;=150,"Very Large"
)</f>
        <v>Small</v>
      </c>
      <c r="H369" s="2" t="s">
        <v>33</v>
      </c>
      <c r="I369" s="2">
        <v>47.781345000000002</v>
      </c>
      <c r="J369" s="2">
        <v>14.382936000000001</v>
      </c>
      <c r="K369" s="2" t="str">
        <f t="shared" si="21"/>
        <v>Available</v>
      </c>
      <c r="L369" s="2" t="s">
        <v>10</v>
      </c>
      <c r="M369" s="3">
        <v>45375</v>
      </c>
      <c r="N369" s="3" t="str">
        <f t="shared" si="22"/>
        <v>March</v>
      </c>
      <c r="O369" s="2" t="s">
        <v>12</v>
      </c>
      <c r="P369" t="str">
        <f t="shared" si="23"/>
        <v>OK</v>
      </c>
    </row>
    <row r="370" spans="1:16" x14ac:dyDescent="0.3">
      <c r="A370" s="2">
        <f t="shared" si="20"/>
        <v>369</v>
      </c>
      <c r="B370" s="2" t="s">
        <v>29</v>
      </c>
      <c r="C370" s="2" t="s">
        <v>11</v>
      </c>
      <c r="D370" s="1">
        <v>0.28599999999999998</v>
      </c>
      <c r="E370" s="1" t="str" cm="1">
        <f t="array" ref="E370">_xlfn.IFS(
D370&lt;20,"Light",
D370&lt;50,"Medium",
D370&lt;100,"Heavy",
D370&gt;=100,"Very Heavy")</f>
        <v>Light</v>
      </c>
      <c r="F370" s="2">
        <v>19</v>
      </c>
      <c r="G370" s="2" t="str" cm="1">
        <f t="array" ref="G370">_xlfn.IFS(
F370&lt;50,"Small",
F370&lt;100,"Medium",
F370&lt;150,"Large",
F370&gt;=150,"Very Large"
)</f>
        <v>Small</v>
      </c>
      <c r="H370" s="2" t="s">
        <v>33</v>
      </c>
      <c r="I370" s="2">
        <v>52.582658000000002</v>
      </c>
      <c r="J370" s="2">
        <v>13.148057</v>
      </c>
      <c r="K370" s="2" t="str">
        <f t="shared" si="21"/>
        <v>Available</v>
      </c>
      <c r="L370" s="2" t="s">
        <v>10</v>
      </c>
      <c r="M370" s="3">
        <v>45375</v>
      </c>
      <c r="N370" s="3" t="str">
        <f t="shared" si="22"/>
        <v>March</v>
      </c>
      <c r="O370" s="2" t="s">
        <v>12</v>
      </c>
      <c r="P370" t="str">
        <f t="shared" si="23"/>
        <v>OK</v>
      </c>
    </row>
    <row r="371" spans="1:16" x14ac:dyDescent="0.3">
      <c r="A371" s="2">
        <f t="shared" si="20"/>
        <v>370</v>
      </c>
      <c r="B371" s="2" t="s">
        <v>30</v>
      </c>
      <c r="C371" s="2" t="s">
        <v>15</v>
      </c>
      <c r="D371" s="1">
        <v>0.8</v>
      </c>
      <c r="E371" s="1" t="str" cm="1">
        <f t="array" ref="E371">_xlfn.IFS(
D371&lt;20,"Light",
D371&lt;50,"Medium",
D371&lt;100,"Heavy",
D371&gt;=100,"Very Heavy")</f>
        <v>Light</v>
      </c>
      <c r="F371" s="2">
        <v>18</v>
      </c>
      <c r="G371" s="2" t="str" cm="1">
        <f t="array" ref="G371">_xlfn.IFS(
F371&lt;50,"Small",
F371&lt;100,"Medium",
F371&lt;150,"Large",
F371&gt;=150,"Very Large"
)</f>
        <v>Small</v>
      </c>
      <c r="H371" s="2" t="s">
        <v>32</v>
      </c>
      <c r="I371" s="2">
        <v>49.938687999999999</v>
      </c>
      <c r="J371" s="2">
        <v>14.179603</v>
      </c>
      <c r="K371" s="2" t="str">
        <f t="shared" si="21"/>
        <v>Available</v>
      </c>
      <c r="L371" s="2" t="s">
        <v>10</v>
      </c>
      <c r="M371" s="3">
        <v>45375</v>
      </c>
      <c r="N371" s="3" t="str">
        <f t="shared" si="22"/>
        <v>March</v>
      </c>
      <c r="O371" s="2" t="s">
        <v>14</v>
      </c>
      <c r="P371" t="str">
        <f t="shared" si="23"/>
        <v>OK</v>
      </c>
    </row>
    <row r="372" spans="1:16" x14ac:dyDescent="0.3">
      <c r="A372" s="2">
        <f t="shared" si="20"/>
        <v>371</v>
      </c>
      <c r="B372" s="2" t="s">
        <v>29</v>
      </c>
      <c r="C372" s="2" t="s">
        <v>15</v>
      </c>
      <c r="D372" s="1">
        <v>0.33600000000000002</v>
      </c>
      <c r="E372" s="1" t="str" cm="1">
        <f t="array" ref="E372">_xlfn.IFS(
D372&lt;20,"Light",
D372&lt;50,"Medium",
D372&lt;100,"Heavy",
D372&gt;=100,"Very Heavy")</f>
        <v>Light</v>
      </c>
      <c r="F372" s="2">
        <v>22</v>
      </c>
      <c r="G372" s="2" t="str" cm="1">
        <f t="array" ref="G372">_xlfn.IFS(
F372&lt;50,"Small",
F372&lt;100,"Medium",
F372&lt;150,"Large",
F372&gt;=150,"Very Large"
)</f>
        <v>Small</v>
      </c>
      <c r="H372" s="2" t="s">
        <v>33</v>
      </c>
      <c r="I372" s="2">
        <v>49.939211999999998</v>
      </c>
      <c r="J372" s="2">
        <v>14.180839000000001</v>
      </c>
      <c r="K372" s="2" t="str">
        <f t="shared" si="21"/>
        <v>Available</v>
      </c>
      <c r="L372" s="2" t="s">
        <v>10</v>
      </c>
      <c r="M372" s="3">
        <v>45375</v>
      </c>
      <c r="N372" s="3" t="str">
        <f t="shared" si="22"/>
        <v>March</v>
      </c>
      <c r="O372" s="2" t="s">
        <v>14</v>
      </c>
      <c r="P372" t="str">
        <f t="shared" si="23"/>
        <v>OK</v>
      </c>
    </row>
    <row r="373" spans="1:16" x14ac:dyDescent="0.3">
      <c r="A373" s="2">
        <f t="shared" si="20"/>
        <v>372</v>
      </c>
      <c r="B373" s="2" t="s">
        <v>29</v>
      </c>
      <c r="C373" s="2" t="s">
        <v>13</v>
      </c>
      <c r="D373" s="1">
        <v>0.2</v>
      </c>
      <c r="E373" s="1" t="str" cm="1">
        <f t="array" ref="E373">_xlfn.IFS(
D373&lt;20,"Light",
D373&lt;50,"Medium",
D373&lt;100,"Heavy",
D373&gt;=100,"Very Heavy")</f>
        <v>Light</v>
      </c>
      <c r="F373" s="2">
        <v>14</v>
      </c>
      <c r="G373" s="2" t="str" cm="1">
        <f t="array" ref="G373">_xlfn.IFS(
F373&lt;50,"Small",
F373&lt;100,"Medium",
F373&lt;150,"Large",
F373&gt;=150,"Very Large"
)</f>
        <v>Small</v>
      </c>
      <c r="H373" s="2" t="s">
        <v>33</v>
      </c>
      <c r="I373" s="2">
        <v>48.186610999999999</v>
      </c>
      <c r="J373" s="2">
        <v>17.090271000000001</v>
      </c>
      <c r="K373" s="2" t="str">
        <f t="shared" si="21"/>
        <v>Available</v>
      </c>
      <c r="L373" s="2" t="s">
        <v>10</v>
      </c>
      <c r="M373" s="3">
        <v>45375</v>
      </c>
      <c r="N373" s="3" t="str">
        <f t="shared" si="22"/>
        <v>March</v>
      </c>
      <c r="O373" s="2" t="s">
        <v>14</v>
      </c>
      <c r="P373" t="str">
        <f t="shared" si="23"/>
        <v>OK</v>
      </c>
    </row>
    <row r="374" spans="1:16" x14ac:dyDescent="0.3">
      <c r="A374" s="2">
        <f t="shared" si="20"/>
        <v>373</v>
      </c>
      <c r="B374" s="2" t="s">
        <v>30</v>
      </c>
      <c r="C374" s="2" t="s">
        <v>4</v>
      </c>
      <c r="D374" s="1">
        <v>0.9</v>
      </c>
      <c r="E374" s="1" t="str" cm="1">
        <f t="array" ref="E374">_xlfn.IFS(
D374&lt;20,"Light",
D374&lt;50,"Medium",
D374&lt;100,"Heavy",
D374&gt;=100,"Very Heavy")</f>
        <v>Light</v>
      </c>
      <c r="F374" s="2">
        <v>22</v>
      </c>
      <c r="G374" s="2" t="str" cm="1">
        <f t="array" ref="G374">_xlfn.IFS(
F374&lt;50,"Small",
F374&lt;100,"Medium",
F374&lt;150,"Large",
F374&gt;=150,"Very Large"
)</f>
        <v>Small</v>
      </c>
      <c r="H374" s="2" t="s">
        <v>33</v>
      </c>
      <c r="I374" s="2">
        <v>52.214494000000002</v>
      </c>
      <c r="J374" s="2">
        <v>21.033154</v>
      </c>
      <c r="K374" s="2" t="str">
        <f t="shared" si="21"/>
        <v>Available</v>
      </c>
      <c r="L374" s="2" t="s">
        <v>10</v>
      </c>
      <c r="M374" s="3">
        <v>45376</v>
      </c>
      <c r="N374" s="3" t="str">
        <f t="shared" si="22"/>
        <v>March</v>
      </c>
      <c r="O374" s="2" t="s">
        <v>6</v>
      </c>
      <c r="P374" t="str">
        <f t="shared" si="23"/>
        <v>OK</v>
      </c>
    </row>
    <row r="375" spans="1:16" x14ac:dyDescent="0.3">
      <c r="A375" s="2">
        <f t="shared" si="20"/>
        <v>374</v>
      </c>
      <c r="B375" s="2" t="s">
        <v>30</v>
      </c>
      <c r="C375" s="2" t="s">
        <v>4</v>
      </c>
      <c r="D375" s="1">
        <v>1</v>
      </c>
      <c r="E375" s="1" t="str" cm="1">
        <f t="array" ref="E375">_xlfn.IFS(
D375&lt;20,"Light",
D375&lt;50,"Medium",
D375&lt;100,"Heavy",
D375&gt;=100,"Very Heavy")</f>
        <v>Light</v>
      </c>
      <c r="F375" s="2">
        <v>21</v>
      </c>
      <c r="G375" s="2" t="str" cm="1">
        <f t="array" ref="G375">_xlfn.IFS(
F375&lt;50,"Small",
F375&lt;100,"Medium",
F375&lt;150,"Large",
F375&gt;=150,"Very Large"
)</f>
        <v>Small</v>
      </c>
      <c r="H375" s="2" t="s">
        <v>32</v>
      </c>
      <c r="I375" s="2">
        <v>52.214418999999999</v>
      </c>
      <c r="J375" s="2">
        <v>21.033441</v>
      </c>
      <c r="K375" s="2" t="str">
        <f t="shared" si="21"/>
        <v>Available</v>
      </c>
      <c r="L375" s="2" t="s">
        <v>10</v>
      </c>
      <c r="M375" s="3">
        <v>45376</v>
      </c>
      <c r="N375" s="3" t="str">
        <f t="shared" si="22"/>
        <v>March</v>
      </c>
      <c r="O375" s="2" t="s">
        <v>6</v>
      </c>
      <c r="P375" t="str">
        <f t="shared" si="23"/>
        <v>OK</v>
      </c>
    </row>
    <row r="376" spans="1:16" x14ac:dyDescent="0.3">
      <c r="A376" s="2">
        <f t="shared" si="20"/>
        <v>375</v>
      </c>
      <c r="B376" s="2" t="s">
        <v>30</v>
      </c>
      <c r="C376" s="2" t="s">
        <v>15</v>
      </c>
      <c r="D376" s="1">
        <v>0.4</v>
      </c>
      <c r="E376" s="1" t="str" cm="1">
        <f t="array" ref="E376">_xlfn.IFS(
D376&lt;20,"Light",
D376&lt;50,"Medium",
D376&lt;100,"Heavy",
D376&gt;=100,"Very Heavy")</f>
        <v>Light</v>
      </c>
      <c r="F376" s="2">
        <v>12</v>
      </c>
      <c r="G376" s="2" t="str" cm="1">
        <f t="array" ref="G376">_xlfn.IFS(
F376&lt;50,"Small",
F376&lt;100,"Medium",
F376&lt;150,"Large",
F376&gt;=150,"Very Large"
)</f>
        <v>Small</v>
      </c>
      <c r="H376" s="2" t="s">
        <v>33</v>
      </c>
      <c r="I376" s="2">
        <v>49.937893000000003</v>
      </c>
      <c r="J376" s="2">
        <v>14.18083</v>
      </c>
      <c r="K376" s="2" t="str">
        <f t="shared" si="21"/>
        <v>Available</v>
      </c>
      <c r="L376" s="2" t="s">
        <v>10</v>
      </c>
      <c r="M376" s="3">
        <v>45376</v>
      </c>
      <c r="N376" s="3" t="str">
        <f t="shared" si="22"/>
        <v>March</v>
      </c>
      <c r="O376" s="2" t="s">
        <v>14</v>
      </c>
      <c r="P376" t="str">
        <f t="shared" si="23"/>
        <v>OK</v>
      </c>
    </row>
    <row r="377" spans="1:16" x14ac:dyDescent="0.3">
      <c r="A377" s="2">
        <f t="shared" si="20"/>
        <v>376</v>
      </c>
      <c r="B377" s="2" t="s">
        <v>29</v>
      </c>
      <c r="C377" s="2" t="s">
        <v>15</v>
      </c>
      <c r="D377" s="1">
        <v>0.33600000000000002</v>
      </c>
      <c r="E377" s="1" t="str" cm="1">
        <f t="array" ref="E377">_xlfn.IFS(
D377&lt;20,"Light",
D377&lt;50,"Medium",
D377&lt;100,"Heavy",
D377&gt;=100,"Very Heavy")</f>
        <v>Light</v>
      </c>
      <c r="F377" s="2">
        <v>23</v>
      </c>
      <c r="G377" s="2" t="str" cm="1">
        <f t="array" ref="G377">_xlfn.IFS(
F377&lt;50,"Small",
F377&lt;100,"Medium",
F377&lt;150,"Large",
F377&gt;=150,"Very Large"
)</f>
        <v>Small</v>
      </c>
      <c r="H377" s="2" t="s">
        <v>32</v>
      </c>
      <c r="I377" s="2">
        <v>49.939261999999999</v>
      </c>
      <c r="J377" s="2">
        <v>14.179613</v>
      </c>
      <c r="K377" s="2" t="str">
        <f t="shared" si="21"/>
        <v>Available</v>
      </c>
      <c r="L377" s="2" t="s">
        <v>10</v>
      </c>
      <c r="M377" s="3">
        <v>45376</v>
      </c>
      <c r="N377" s="3" t="str">
        <f t="shared" si="22"/>
        <v>March</v>
      </c>
      <c r="O377" s="2" t="s">
        <v>14</v>
      </c>
      <c r="P377" t="str">
        <f t="shared" si="23"/>
        <v>OK</v>
      </c>
    </row>
    <row r="378" spans="1:16" x14ac:dyDescent="0.3">
      <c r="A378" s="2">
        <f t="shared" si="20"/>
        <v>377</v>
      </c>
      <c r="B378" s="2" t="s">
        <v>29</v>
      </c>
      <c r="C378" s="2" t="s">
        <v>13</v>
      </c>
      <c r="D378" s="1">
        <v>0.254</v>
      </c>
      <c r="E378" s="1" t="str" cm="1">
        <f t="array" ref="E378">_xlfn.IFS(
D378&lt;20,"Light",
D378&lt;50,"Medium",
D378&lt;100,"Heavy",
D378&gt;=100,"Very Heavy")</f>
        <v>Light</v>
      </c>
      <c r="F378" s="2">
        <v>18</v>
      </c>
      <c r="G378" s="2" t="str" cm="1">
        <f t="array" ref="G378">_xlfn.IFS(
F378&lt;50,"Small",
F378&lt;100,"Medium",
F378&lt;150,"Large",
F378&gt;=150,"Very Large"
)</f>
        <v>Small</v>
      </c>
      <c r="H378" s="2" t="s">
        <v>32</v>
      </c>
      <c r="I378" s="2">
        <v>48.239854000000001</v>
      </c>
      <c r="J378" s="2">
        <v>17.086693</v>
      </c>
      <c r="K378" s="2" t="str">
        <f t="shared" si="21"/>
        <v>Available</v>
      </c>
      <c r="L378" s="2" t="s">
        <v>10</v>
      </c>
      <c r="M378" s="3">
        <v>45376</v>
      </c>
      <c r="N378" s="3" t="str">
        <f t="shared" si="22"/>
        <v>March</v>
      </c>
      <c r="O378" s="2" t="s">
        <v>14</v>
      </c>
      <c r="P378" t="str">
        <f t="shared" si="23"/>
        <v>OK</v>
      </c>
    </row>
    <row r="379" spans="1:16" x14ac:dyDescent="0.3">
      <c r="A379" s="2">
        <f t="shared" si="20"/>
        <v>378</v>
      </c>
      <c r="B379" s="2" t="s">
        <v>29</v>
      </c>
      <c r="C379" s="2" t="s">
        <v>13</v>
      </c>
      <c r="D379" s="1">
        <v>0.29399999999999998</v>
      </c>
      <c r="E379" s="1" t="str" cm="1">
        <f t="array" ref="E379">_xlfn.IFS(
D379&lt;20,"Light",
D379&lt;50,"Medium",
D379&lt;100,"Heavy",
D379&gt;=100,"Very Heavy")</f>
        <v>Light</v>
      </c>
      <c r="F379" s="2">
        <v>23</v>
      </c>
      <c r="G379" s="2" t="str" cm="1">
        <f t="array" ref="G379">_xlfn.IFS(
F379&lt;50,"Small",
F379&lt;100,"Medium",
F379&lt;150,"Large",
F379&gt;=150,"Very Large"
)</f>
        <v>Small</v>
      </c>
      <c r="H379" s="2" t="s">
        <v>32</v>
      </c>
      <c r="I379" s="2">
        <v>48.226680000000002</v>
      </c>
      <c r="J379" s="2">
        <v>17.081529</v>
      </c>
      <c r="K379" s="2" t="str">
        <f t="shared" si="21"/>
        <v>Available</v>
      </c>
      <c r="L379" s="2" t="s">
        <v>10</v>
      </c>
      <c r="M379" s="3">
        <v>45376</v>
      </c>
      <c r="N379" s="3" t="str">
        <f t="shared" si="22"/>
        <v>March</v>
      </c>
      <c r="O379" s="2" t="s">
        <v>14</v>
      </c>
      <c r="P379" t="str">
        <f t="shared" si="23"/>
        <v>OK</v>
      </c>
    </row>
    <row r="380" spans="1:16" x14ac:dyDescent="0.3">
      <c r="A380" s="2">
        <f t="shared" si="20"/>
        <v>379</v>
      </c>
      <c r="B380" s="2" t="s">
        <v>29</v>
      </c>
      <c r="C380" s="2" t="s">
        <v>13</v>
      </c>
      <c r="D380" s="1">
        <v>0.26500000000000001</v>
      </c>
      <c r="E380" s="1" t="str" cm="1">
        <f t="array" ref="E380">_xlfn.IFS(
D380&lt;20,"Light",
D380&lt;50,"Medium",
D380&lt;100,"Heavy",
D380&gt;=100,"Very Heavy")</f>
        <v>Light</v>
      </c>
      <c r="F380" s="2">
        <v>22</v>
      </c>
      <c r="G380" s="2" t="str" cm="1">
        <f t="array" ref="G380">_xlfn.IFS(
F380&lt;50,"Small",
F380&lt;100,"Medium",
F380&lt;150,"Large",
F380&gt;=150,"Very Large"
)</f>
        <v>Small</v>
      </c>
      <c r="H380" s="2" t="s">
        <v>33</v>
      </c>
      <c r="I380" s="2">
        <v>48.238619999999997</v>
      </c>
      <c r="J380" s="2">
        <v>17.074393000000001</v>
      </c>
      <c r="K380" s="2" t="str">
        <f t="shared" si="21"/>
        <v>Available</v>
      </c>
      <c r="L380" s="2" t="s">
        <v>10</v>
      </c>
      <c r="M380" s="3">
        <v>45376</v>
      </c>
      <c r="N380" s="3" t="str">
        <f t="shared" si="22"/>
        <v>March</v>
      </c>
      <c r="O380" s="2" t="s">
        <v>14</v>
      </c>
      <c r="P380" t="str">
        <f t="shared" si="23"/>
        <v>OK</v>
      </c>
    </row>
    <row r="381" spans="1:16" x14ac:dyDescent="0.3">
      <c r="A381" s="2">
        <f t="shared" si="20"/>
        <v>380</v>
      </c>
      <c r="B381" s="2" t="s">
        <v>27</v>
      </c>
      <c r="C381" s="2" t="s">
        <v>4</v>
      </c>
      <c r="D381" s="1">
        <v>823</v>
      </c>
      <c r="E381" s="1" t="str" cm="1">
        <f t="array" ref="E381">_xlfn.IFS(
D381&lt;20,"Light",
D381&lt;50,"Medium",
D381&lt;100,"Heavy",
D381&gt;=100,"Very Heavy")</f>
        <v>Very Heavy</v>
      </c>
      <c r="F381" s="2">
        <v>305</v>
      </c>
      <c r="G381" s="2" t="str" cm="1">
        <f t="array" ref="G381">_xlfn.IFS(
F381&lt;50,"Small",
F381&lt;100,"Medium",
F381&lt;150,"Large",
F381&gt;=150,"Very Large"
)</f>
        <v>Very Large</v>
      </c>
      <c r="H381" s="2" t="s">
        <v>32</v>
      </c>
      <c r="I381" s="2">
        <v>52.824289999999998</v>
      </c>
      <c r="J381" s="2">
        <v>23.813465000000001</v>
      </c>
      <c r="K381" s="2" t="str">
        <f t="shared" si="21"/>
        <v>Available</v>
      </c>
      <c r="L381" s="2" t="s">
        <v>10</v>
      </c>
      <c r="M381" s="3">
        <v>45377</v>
      </c>
      <c r="N381" s="3" t="str">
        <f t="shared" si="22"/>
        <v>March</v>
      </c>
      <c r="O381" s="2" t="s">
        <v>6</v>
      </c>
      <c r="P381" t="str">
        <f t="shared" si="23"/>
        <v>OK</v>
      </c>
    </row>
    <row r="382" spans="1:16" x14ac:dyDescent="0.3">
      <c r="A382" s="2">
        <f t="shared" si="20"/>
        <v>381</v>
      </c>
      <c r="B382" s="2" t="s">
        <v>27</v>
      </c>
      <c r="C382" s="2" t="s">
        <v>4</v>
      </c>
      <c r="D382" s="1">
        <v>594</v>
      </c>
      <c r="E382" s="1" t="str" cm="1">
        <f t="array" ref="E382">_xlfn.IFS(
D382&lt;20,"Light",
D382&lt;50,"Medium",
D382&lt;100,"Heavy",
D382&gt;=100,"Very Heavy")</f>
        <v>Very Heavy</v>
      </c>
      <c r="F382" s="2">
        <v>243</v>
      </c>
      <c r="G382" s="2" t="str" cm="1">
        <f t="array" ref="G382">_xlfn.IFS(
F382&lt;50,"Small",
F382&lt;100,"Medium",
F382&lt;150,"Large",
F382&gt;=150,"Very Large"
)</f>
        <v>Very Large</v>
      </c>
      <c r="H382" s="2" t="s">
        <v>32</v>
      </c>
      <c r="I382" s="2">
        <v>52.825553999999997</v>
      </c>
      <c r="J382" s="2">
        <v>23.812594000000001</v>
      </c>
      <c r="K382" s="2" t="str">
        <f t="shared" si="21"/>
        <v>Available</v>
      </c>
      <c r="L382" s="2" t="s">
        <v>10</v>
      </c>
      <c r="M382" s="3">
        <v>45377</v>
      </c>
      <c r="N382" s="3" t="str">
        <f t="shared" si="22"/>
        <v>March</v>
      </c>
      <c r="O382" s="2" t="s">
        <v>6</v>
      </c>
      <c r="P382" t="str">
        <f t="shared" si="23"/>
        <v>OK</v>
      </c>
    </row>
    <row r="383" spans="1:16" x14ac:dyDescent="0.3">
      <c r="A383" s="2">
        <f t="shared" si="20"/>
        <v>382</v>
      </c>
      <c r="B383" s="2" t="s">
        <v>29</v>
      </c>
      <c r="C383" s="2" t="s">
        <v>4</v>
      </c>
      <c r="D383" s="1">
        <v>0.31</v>
      </c>
      <c r="E383" s="1" t="str" cm="1">
        <f t="array" ref="E383">_xlfn.IFS(
D383&lt;20,"Light",
D383&lt;50,"Medium",
D383&lt;100,"Heavy",
D383&gt;=100,"Very Heavy")</f>
        <v>Light</v>
      </c>
      <c r="F383" s="2">
        <v>24</v>
      </c>
      <c r="G383" s="2" t="str" cm="1">
        <f t="array" ref="G383">_xlfn.IFS(
F383&lt;50,"Small",
F383&lt;100,"Medium",
F383&lt;150,"Large",
F383&gt;=150,"Very Large"
)</f>
        <v>Small</v>
      </c>
      <c r="H383" s="2" t="s">
        <v>32</v>
      </c>
      <c r="I383" s="2">
        <v>50.041235</v>
      </c>
      <c r="J383" s="2">
        <v>19.951284000000001</v>
      </c>
      <c r="K383" s="2" t="str">
        <f t="shared" si="21"/>
        <v>Available</v>
      </c>
      <c r="L383" s="2" t="s">
        <v>10</v>
      </c>
      <c r="M383" s="3">
        <v>45377</v>
      </c>
      <c r="N383" s="3" t="str">
        <f t="shared" si="22"/>
        <v>March</v>
      </c>
      <c r="O383" s="2" t="s">
        <v>6</v>
      </c>
      <c r="P383" t="str">
        <f t="shared" si="23"/>
        <v>OK</v>
      </c>
    </row>
    <row r="384" spans="1:16" x14ac:dyDescent="0.3">
      <c r="A384" s="2">
        <f t="shared" si="20"/>
        <v>383</v>
      </c>
      <c r="B384" s="2" t="s">
        <v>29</v>
      </c>
      <c r="C384" s="2" t="s">
        <v>7</v>
      </c>
      <c r="D384" s="1">
        <v>0.297366504854368</v>
      </c>
      <c r="E384" s="1" t="str" cm="1">
        <f t="array" ref="E384">_xlfn.IFS(
D384&lt;20,"Light",
D384&lt;50,"Medium",
D384&lt;100,"Heavy",
D384&gt;=100,"Very Heavy")</f>
        <v>Light</v>
      </c>
      <c r="F384" s="2">
        <v>20</v>
      </c>
      <c r="G384" s="2" t="str" cm="1">
        <f t="array" ref="G384">_xlfn.IFS(
F384&lt;50,"Small",
F384&lt;100,"Medium",
F384&lt;150,"Large",
F384&gt;=150,"Very Large"
)</f>
        <v>Small</v>
      </c>
      <c r="H384" s="2" t="s">
        <v>33</v>
      </c>
      <c r="I384" s="2">
        <v>47.508617999999998</v>
      </c>
      <c r="J384" s="2">
        <v>18.944915000000002</v>
      </c>
      <c r="K384" s="2" t="str">
        <f t="shared" si="21"/>
        <v>Available</v>
      </c>
      <c r="L384" s="2" t="s">
        <v>10</v>
      </c>
      <c r="M384" s="3">
        <v>45377</v>
      </c>
      <c r="N384" s="3" t="str">
        <f t="shared" si="22"/>
        <v>March</v>
      </c>
      <c r="O384" s="2" t="s">
        <v>6</v>
      </c>
      <c r="P384" t="str">
        <f t="shared" si="23"/>
        <v>OK</v>
      </c>
    </row>
    <row r="385" spans="1:16" x14ac:dyDescent="0.3">
      <c r="A385" s="2">
        <f t="shared" si="20"/>
        <v>384</v>
      </c>
      <c r="B385" s="2" t="s">
        <v>30</v>
      </c>
      <c r="C385" s="2" t="s">
        <v>15</v>
      </c>
      <c r="D385" s="1">
        <v>0.7</v>
      </c>
      <c r="E385" s="1" t="str" cm="1">
        <f t="array" ref="E385">_xlfn.IFS(
D385&lt;20,"Light",
D385&lt;50,"Medium",
D385&lt;100,"Heavy",
D385&gt;=100,"Very Heavy")</f>
        <v>Light</v>
      </c>
      <c r="F385" s="2">
        <v>16</v>
      </c>
      <c r="G385" s="2" t="str" cm="1">
        <f t="array" ref="G385">_xlfn.IFS(
F385&lt;50,"Small",
F385&lt;100,"Medium",
F385&lt;150,"Large",
F385&gt;=150,"Very Large"
)</f>
        <v>Small</v>
      </c>
      <c r="H385" s="2" t="s">
        <v>32</v>
      </c>
      <c r="I385" s="2">
        <v>49.939149999999998</v>
      </c>
      <c r="J385" s="2">
        <v>14.179387999999999</v>
      </c>
      <c r="K385" s="2" t="str">
        <f t="shared" si="21"/>
        <v>Available</v>
      </c>
      <c r="L385" s="2" t="s">
        <v>10</v>
      </c>
      <c r="M385" s="3">
        <v>45377</v>
      </c>
      <c r="N385" s="3" t="str">
        <f t="shared" si="22"/>
        <v>March</v>
      </c>
      <c r="O385" s="2" t="s">
        <v>14</v>
      </c>
      <c r="P385" t="str">
        <f t="shared" si="23"/>
        <v>OK</v>
      </c>
    </row>
    <row r="386" spans="1:16" x14ac:dyDescent="0.3">
      <c r="A386" s="2">
        <f t="shared" si="20"/>
        <v>385</v>
      </c>
      <c r="B386" s="2" t="s">
        <v>30</v>
      </c>
      <c r="C386" s="2" t="s">
        <v>15</v>
      </c>
      <c r="D386" s="1">
        <v>0.6</v>
      </c>
      <c r="E386" s="1" t="str" cm="1">
        <f t="array" ref="E386">_xlfn.IFS(
D386&lt;20,"Light",
D386&lt;50,"Medium",
D386&lt;100,"Heavy",
D386&gt;=100,"Very Heavy")</f>
        <v>Light</v>
      </c>
      <c r="F386" s="2">
        <v>17</v>
      </c>
      <c r="G386" s="2" t="str" cm="1">
        <f t="array" ref="G386">_xlfn.IFS(
F386&lt;50,"Small",
F386&lt;100,"Medium",
F386&lt;150,"Large",
F386&gt;=150,"Very Large"
)</f>
        <v>Small</v>
      </c>
      <c r="H386" s="2" t="s">
        <v>33</v>
      </c>
      <c r="I386" s="2">
        <v>49.938346000000003</v>
      </c>
      <c r="J386" s="2">
        <v>14.18024</v>
      </c>
      <c r="K386" s="2" t="str">
        <f t="shared" si="21"/>
        <v>Available</v>
      </c>
      <c r="L386" s="2" t="s">
        <v>10</v>
      </c>
      <c r="M386" s="3">
        <v>45377</v>
      </c>
      <c r="N386" s="3" t="str">
        <f t="shared" si="22"/>
        <v>March</v>
      </c>
      <c r="O386" s="2" t="s">
        <v>14</v>
      </c>
      <c r="P386" t="str">
        <f t="shared" si="23"/>
        <v>OK</v>
      </c>
    </row>
    <row r="387" spans="1:16" x14ac:dyDescent="0.3">
      <c r="A387" s="2">
        <f t="shared" ref="A387:A450" si="24">ROW()-1</f>
        <v>386</v>
      </c>
      <c r="B387" s="2" t="s">
        <v>30</v>
      </c>
      <c r="C387" s="2" t="s">
        <v>4</v>
      </c>
      <c r="D387" s="1">
        <v>1.1000000000000001</v>
      </c>
      <c r="E387" s="1" t="str" cm="1">
        <f t="array" ref="E387">_xlfn.IFS(
D387&lt;20,"Light",
D387&lt;50,"Medium",
D387&lt;100,"Heavy",
D387&gt;=100,"Very Heavy")</f>
        <v>Light</v>
      </c>
      <c r="F387" s="2">
        <v>20</v>
      </c>
      <c r="G387" s="2" t="str" cm="1">
        <f t="array" ref="G387">_xlfn.IFS(
F387&lt;50,"Small",
F387&lt;100,"Medium",
F387&lt;150,"Large",
F387&gt;=150,"Very Large"
)</f>
        <v>Small</v>
      </c>
      <c r="H387" s="2" t="s">
        <v>33</v>
      </c>
      <c r="I387" s="2">
        <v>52.214765999999997</v>
      </c>
      <c r="J387" s="2">
        <v>21.030532000000001</v>
      </c>
      <c r="K387" s="2" t="str">
        <f t="shared" ref="K387:K450" si="25">IF(OR(I387="",J387=""),"Missing Location","Available")</f>
        <v>Available</v>
      </c>
      <c r="L387" s="2" t="s">
        <v>10</v>
      </c>
      <c r="M387" s="3">
        <v>45378</v>
      </c>
      <c r="N387" s="3" t="str">
        <f t="shared" ref="N387:N450" si="26">TEXT(M387,"mmmm")</f>
        <v>March</v>
      </c>
      <c r="O387" s="2" t="s">
        <v>6</v>
      </c>
      <c r="P387" t="str">
        <f t="shared" ref="P387:P450" si="27">IF(OR(B387="",C387="",D387="",E387="",J387=""),"Needs Review","OK")</f>
        <v>OK</v>
      </c>
    </row>
    <row r="388" spans="1:16" x14ac:dyDescent="0.3">
      <c r="A388" s="2">
        <f t="shared" si="24"/>
        <v>387</v>
      </c>
      <c r="B388" s="2" t="s">
        <v>29</v>
      </c>
      <c r="C388" s="2" t="s">
        <v>4</v>
      </c>
      <c r="D388" s="1">
        <v>0.33600000000000002</v>
      </c>
      <c r="E388" s="1" t="str" cm="1">
        <f t="array" ref="E388">_xlfn.IFS(
D388&lt;20,"Light",
D388&lt;50,"Medium",
D388&lt;100,"Heavy",
D388&gt;=100,"Very Heavy")</f>
        <v>Light</v>
      </c>
      <c r="F388" s="2">
        <v>19</v>
      </c>
      <c r="G388" s="2" t="str" cm="1">
        <f t="array" ref="G388">_xlfn.IFS(
F388&lt;50,"Small",
F388&lt;100,"Medium",
F388&lt;150,"Large",
F388&gt;=150,"Very Large"
)</f>
        <v>Small</v>
      </c>
      <c r="H388" s="2" t="s">
        <v>32</v>
      </c>
      <c r="I388" s="2">
        <v>50.041488999999999</v>
      </c>
      <c r="J388" s="2">
        <v>19.950768</v>
      </c>
      <c r="K388" s="2" t="str">
        <f t="shared" si="25"/>
        <v>Available</v>
      </c>
      <c r="L388" s="2" t="s">
        <v>9</v>
      </c>
      <c r="M388" s="3">
        <v>45378</v>
      </c>
      <c r="N388" s="3" t="str">
        <f t="shared" si="26"/>
        <v>March</v>
      </c>
      <c r="O388" s="2" t="s">
        <v>6</v>
      </c>
      <c r="P388" t="str">
        <f t="shared" si="27"/>
        <v>OK</v>
      </c>
    </row>
    <row r="389" spans="1:16" x14ac:dyDescent="0.3">
      <c r="A389" s="2">
        <f t="shared" si="24"/>
        <v>388</v>
      </c>
      <c r="B389" s="2" t="s">
        <v>30</v>
      </c>
      <c r="C389" s="2" t="s">
        <v>11</v>
      </c>
      <c r="D389" s="1">
        <v>0.7</v>
      </c>
      <c r="E389" s="1" t="str" cm="1">
        <f t="array" ref="E389">_xlfn.IFS(
D389&lt;20,"Light",
D389&lt;50,"Medium",
D389&lt;100,"Heavy",
D389&gt;=100,"Very Heavy")</f>
        <v>Light</v>
      </c>
      <c r="F389" s="2">
        <v>23</v>
      </c>
      <c r="G389" s="2" t="str" cm="1">
        <f t="array" ref="G389">_xlfn.IFS(
F389&lt;50,"Small",
F389&lt;100,"Medium",
F389&lt;150,"Large",
F389&gt;=150,"Very Large"
)</f>
        <v>Small</v>
      </c>
      <c r="H389" s="2" t="s">
        <v>33</v>
      </c>
      <c r="I389" s="2">
        <v>52.587532000000003</v>
      </c>
      <c r="J389" s="2">
        <v>13.152361000000001</v>
      </c>
      <c r="K389" s="2" t="str">
        <f t="shared" si="25"/>
        <v>Available</v>
      </c>
      <c r="L389" s="2" t="s">
        <v>10</v>
      </c>
      <c r="M389" s="3">
        <v>45378</v>
      </c>
      <c r="N389" s="3" t="str">
        <f t="shared" si="26"/>
        <v>March</v>
      </c>
      <c r="O389" s="2" t="s">
        <v>12</v>
      </c>
      <c r="P389" t="str">
        <f t="shared" si="27"/>
        <v>OK</v>
      </c>
    </row>
    <row r="390" spans="1:16" x14ac:dyDescent="0.3">
      <c r="A390" s="2">
        <f t="shared" si="24"/>
        <v>389</v>
      </c>
      <c r="B390" s="2" t="s">
        <v>30</v>
      </c>
      <c r="C390" s="2" t="s">
        <v>11</v>
      </c>
      <c r="D390" s="1">
        <v>0.7</v>
      </c>
      <c r="E390" s="1" t="str" cm="1">
        <f t="array" ref="E390">_xlfn.IFS(
D390&lt;20,"Light",
D390&lt;50,"Medium",
D390&lt;100,"Heavy",
D390&gt;=100,"Very Heavy")</f>
        <v>Light</v>
      </c>
      <c r="F390" s="2">
        <v>17</v>
      </c>
      <c r="G390" s="2" t="str" cm="1">
        <f t="array" ref="G390">_xlfn.IFS(
F390&lt;50,"Small",
F390&lt;100,"Medium",
F390&lt;150,"Large",
F390&gt;=150,"Very Large"
)</f>
        <v>Small</v>
      </c>
      <c r="H390" s="2" t="s">
        <v>32</v>
      </c>
      <c r="I390" s="2">
        <v>48.161583999999998</v>
      </c>
      <c r="J390" s="2">
        <v>11.494937999999999</v>
      </c>
      <c r="K390" s="2" t="str">
        <f t="shared" si="25"/>
        <v>Available</v>
      </c>
      <c r="L390" s="2" t="s">
        <v>10</v>
      </c>
      <c r="M390" s="3">
        <v>45378</v>
      </c>
      <c r="N390" s="3" t="str">
        <f t="shared" si="26"/>
        <v>March</v>
      </c>
      <c r="O390" s="2" t="s">
        <v>12</v>
      </c>
      <c r="P390" t="str">
        <f t="shared" si="27"/>
        <v>OK</v>
      </c>
    </row>
    <row r="391" spans="1:16" x14ac:dyDescent="0.3">
      <c r="A391" s="2">
        <f t="shared" si="24"/>
        <v>390</v>
      </c>
      <c r="B391" s="2" t="s">
        <v>30</v>
      </c>
      <c r="C391" s="2" t="s">
        <v>11</v>
      </c>
      <c r="D391" s="1">
        <v>0.9</v>
      </c>
      <c r="E391" s="1" t="str" cm="1">
        <f t="array" ref="E391">_xlfn.IFS(
D391&lt;20,"Light",
D391&lt;50,"Medium",
D391&lt;100,"Heavy",
D391&gt;=100,"Very Heavy")</f>
        <v>Light</v>
      </c>
      <c r="F391" s="2">
        <v>18</v>
      </c>
      <c r="G391" s="2" t="str" cm="1">
        <f t="array" ref="G391">_xlfn.IFS(
F391&lt;50,"Small",
F391&lt;100,"Medium",
F391&lt;150,"Large",
F391&gt;=150,"Very Large"
)</f>
        <v>Small</v>
      </c>
      <c r="H391" s="2" t="s">
        <v>33</v>
      </c>
      <c r="I391" s="2">
        <v>48.160459000000003</v>
      </c>
      <c r="J391" s="2">
        <v>11.493142000000001</v>
      </c>
      <c r="K391" s="2" t="str">
        <f t="shared" si="25"/>
        <v>Available</v>
      </c>
      <c r="L391" s="2" t="s">
        <v>10</v>
      </c>
      <c r="M391" s="3">
        <v>45378</v>
      </c>
      <c r="N391" s="3" t="str">
        <f t="shared" si="26"/>
        <v>March</v>
      </c>
      <c r="O391" s="2" t="s">
        <v>12</v>
      </c>
      <c r="P391" t="str">
        <f t="shared" si="27"/>
        <v>OK</v>
      </c>
    </row>
    <row r="392" spans="1:16" x14ac:dyDescent="0.3">
      <c r="A392" s="2">
        <f t="shared" si="24"/>
        <v>391</v>
      </c>
      <c r="B392" s="2" t="s">
        <v>30</v>
      </c>
      <c r="C392" s="2" t="s">
        <v>11</v>
      </c>
      <c r="D392" s="1">
        <v>0.5</v>
      </c>
      <c r="E392" s="1" t="str" cm="1">
        <f t="array" ref="E392">_xlfn.IFS(
D392&lt;20,"Light",
D392&lt;50,"Medium",
D392&lt;100,"Heavy",
D392&gt;=100,"Very Heavy")</f>
        <v>Light</v>
      </c>
      <c r="F392" s="2">
        <v>20</v>
      </c>
      <c r="G392" s="2" t="str" cm="1">
        <f t="array" ref="G392">_xlfn.IFS(
F392&lt;50,"Small",
F392&lt;100,"Medium",
F392&lt;150,"Large",
F392&gt;=150,"Very Large"
)</f>
        <v>Small</v>
      </c>
      <c r="H392" s="2" t="s">
        <v>32</v>
      </c>
      <c r="I392" s="2">
        <v>48.160834000000001</v>
      </c>
      <c r="J392" s="2">
        <v>11.489874</v>
      </c>
      <c r="K392" s="2" t="str">
        <f t="shared" si="25"/>
        <v>Available</v>
      </c>
      <c r="L392" s="2" t="s">
        <v>10</v>
      </c>
      <c r="M392" s="3">
        <v>45378</v>
      </c>
      <c r="N392" s="3" t="str">
        <f t="shared" si="26"/>
        <v>March</v>
      </c>
      <c r="O392" s="2" t="s">
        <v>12</v>
      </c>
      <c r="P392" t="str">
        <f t="shared" si="27"/>
        <v>OK</v>
      </c>
    </row>
    <row r="393" spans="1:16" x14ac:dyDescent="0.3">
      <c r="A393" s="2">
        <f t="shared" si="24"/>
        <v>392</v>
      </c>
      <c r="B393" s="2" t="s">
        <v>30</v>
      </c>
      <c r="C393" s="2" t="s">
        <v>15</v>
      </c>
      <c r="D393" s="1">
        <v>0.5</v>
      </c>
      <c r="E393" s="1" t="str" cm="1">
        <f t="array" ref="E393">_xlfn.IFS(
D393&lt;20,"Light",
D393&lt;50,"Medium",
D393&lt;100,"Heavy",
D393&gt;=100,"Very Heavy")</f>
        <v>Light</v>
      </c>
      <c r="F393" s="2">
        <v>16</v>
      </c>
      <c r="G393" s="2" t="str" cm="1">
        <f t="array" ref="G393">_xlfn.IFS(
F393&lt;50,"Small",
F393&lt;100,"Medium",
F393&lt;150,"Large",
F393&gt;=150,"Very Large"
)</f>
        <v>Small</v>
      </c>
      <c r="H393" s="2" t="s">
        <v>32</v>
      </c>
      <c r="I393" s="2">
        <v>49.938845000000001</v>
      </c>
      <c r="J393" s="2">
        <v>14.182245999999999</v>
      </c>
      <c r="K393" s="2" t="str">
        <f t="shared" si="25"/>
        <v>Available</v>
      </c>
      <c r="L393" s="2" t="s">
        <v>10</v>
      </c>
      <c r="M393" s="3">
        <v>45378</v>
      </c>
      <c r="N393" s="3" t="str">
        <f t="shared" si="26"/>
        <v>March</v>
      </c>
      <c r="O393" s="2" t="s">
        <v>14</v>
      </c>
      <c r="P393" t="str">
        <f t="shared" si="27"/>
        <v>OK</v>
      </c>
    </row>
    <row r="394" spans="1:16" x14ac:dyDescent="0.3">
      <c r="A394" s="2">
        <f t="shared" si="24"/>
        <v>393</v>
      </c>
      <c r="B394" s="2" t="s">
        <v>30</v>
      </c>
      <c r="C394" s="2" t="s">
        <v>15</v>
      </c>
      <c r="D394" s="1">
        <v>0.8</v>
      </c>
      <c r="E394" s="1" t="str" cm="1">
        <f t="array" ref="E394">_xlfn.IFS(
D394&lt;20,"Light",
D394&lt;50,"Medium",
D394&lt;100,"Heavy",
D394&gt;=100,"Very Heavy")</f>
        <v>Light</v>
      </c>
      <c r="F394" s="2">
        <v>17</v>
      </c>
      <c r="G394" s="2" t="str" cm="1">
        <f t="array" ref="G394">_xlfn.IFS(
F394&lt;50,"Small",
F394&lt;100,"Medium",
F394&lt;150,"Large",
F394&gt;=150,"Very Large"
)</f>
        <v>Small</v>
      </c>
      <c r="H394" s="2" t="s">
        <v>33</v>
      </c>
      <c r="I394" s="2">
        <v>49.938958999999997</v>
      </c>
      <c r="J394" s="2">
        <v>14.180078</v>
      </c>
      <c r="K394" s="2" t="str">
        <f t="shared" si="25"/>
        <v>Available</v>
      </c>
      <c r="L394" s="2" t="s">
        <v>10</v>
      </c>
      <c r="M394" s="3">
        <v>45378</v>
      </c>
      <c r="N394" s="3" t="str">
        <f t="shared" si="26"/>
        <v>March</v>
      </c>
      <c r="O394" s="2" t="s">
        <v>14</v>
      </c>
      <c r="P394" t="str">
        <f t="shared" si="27"/>
        <v>OK</v>
      </c>
    </row>
    <row r="395" spans="1:16" x14ac:dyDescent="0.3">
      <c r="A395" s="2">
        <f t="shared" si="24"/>
        <v>394</v>
      </c>
      <c r="B395" s="2" t="s">
        <v>29</v>
      </c>
      <c r="C395" s="2" t="s">
        <v>15</v>
      </c>
      <c r="D395" s="1">
        <v>0.27700000000000002</v>
      </c>
      <c r="E395" s="1" t="str" cm="1">
        <f t="array" ref="E395">_xlfn.IFS(
D395&lt;20,"Light",
D395&lt;50,"Medium",
D395&lt;100,"Heavy",
D395&gt;=100,"Very Heavy")</f>
        <v>Light</v>
      </c>
      <c r="F395" s="2">
        <v>22</v>
      </c>
      <c r="G395" s="2" t="str" cm="1">
        <f t="array" ref="G395">_xlfn.IFS(
F395&lt;50,"Small",
F395&lt;100,"Medium",
F395&lt;150,"Large",
F395&gt;=150,"Very Large"
)</f>
        <v>Small</v>
      </c>
      <c r="H395" s="2" t="s">
        <v>32</v>
      </c>
      <c r="I395" s="2">
        <v>49.939096999999997</v>
      </c>
      <c r="J395" s="2">
        <v>14.179435</v>
      </c>
      <c r="K395" s="2" t="str">
        <f t="shared" si="25"/>
        <v>Available</v>
      </c>
      <c r="L395" s="2" t="s">
        <v>10</v>
      </c>
      <c r="M395" s="3">
        <v>45378</v>
      </c>
      <c r="N395" s="3" t="str">
        <f t="shared" si="26"/>
        <v>March</v>
      </c>
      <c r="O395" s="2" t="s">
        <v>14</v>
      </c>
      <c r="P395" t="str">
        <f t="shared" si="27"/>
        <v>OK</v>
      </c>
    </row>
    <row r="396" spans="1:16" x14ac:dyDescent="0.3">
      <c r="A396" s="2">
        <f t="shared" si="24"/>
        <v>395</v>
      </c>
      <c r="B396" s="2" t="s">
        <v>29</v>
      </c>
      <c r="C396" s="2" t="s">
        <v>13</v>
      </c>
      <c r="D396" s="1">
        <v>0.32100000000000001</v>
      </c>
      <c r="E396" s="1" t="str" cm="1">
        <f t="array" ref="E396">_xlfn.IFS(
D396&lt;20,"Light",
D396&lt;50,"Medium",
D396&lt;100,"Heavy",
D396&gt;=100,"Very Heavy")</f>
        <v>Light</v>
      </c>
      <c r="F396" s="2">
        <v>18</v>
      </c>
      <c r="G396" s="2" t="str" cm="1">
        <f t="array" ref="G396">_xlfn.IFS(
F396&lt;50,"Small",
F396&lt;100,"Medium",
F396&lt;150,"Large",
F396&gt;=150,"Very Large"
)</f>
        <v>Small</v>
      </c>
      <c r="H396" s="2" t="s">
        <v>33</v>
      </c>
      <c r="I396" s="2">
        <v>48.226708000000002</v>
      </c>
      <c r="J396" s="2">
        <v>17.087852999999999</v>
      </c>
      <c r="K396" s="2" t="str">
        <f t="shared" si="25"/>
        <v>Available</v>
      </c>
      <c r="L396" s="2" t="s">
        <v>10</v>
      </c>
      <c r="M396" s="3">
        <v>45378</v>
      </c>
      <c r="N396" s="3" t="str">
        <f t="shared" si="26"/>
        <v>March</v>
      </c>
      <c r="O396" s="2" t="s">
        <v>14</v>
      </c>
      <c r="P396" t="str">
        <f t="shared" si="27"/>
        <v>OK</v>
      </c>
    </row>
    <row r="397" spans="1:16" x14ac:dyDescent="0.3">
      <c r="A397" s="2">
        <f t="shared" si="24"/>
        <v>396</v>
      </c>
      <c r="B397" s="2" t="s">
        <v>29</v>
      </c>
      <c r="C397" s="2" t="s">
        <v>15</v>
      </c>
      <c r="D397" s="1">
        <v>0.27100000000000002</v>
      </c>
      <c r="E397" s="1" t="str" cm="1">
        <f t="array" ref="E397">_xlfn.IFS(
D397&lt;20,"Light",
D397&lt;50,"Medium",
D397&lt;100,"Heavy",
D397&gt;=100,"Very Heavy")</f>
        <v>Light</v>
      </c>
      <c r="F397" s="2">
        <v>19</v>
      </c>
      <c r="G397" s="2" t="str" cm="1">
        <f t="array" ref="G397">_xlfn.IFS(
F397&lt;50,"Small",
F397&lt;100,"Medium",
F397&lt;150,"Large",
F397&gt;=150,"Very Large"
)</f>
        <v>Small</v>
      </c>
      <c r="H397" s="2" t="s">
        <v>33</v>
      </c>
      <c r="I397" s="2">
        <v>49.938523000000004</v>
      </c>
      <c r="J397" s="2">
        <v>14.18244</v>
      </c>
      <c r="K397" s="2" t="str">
        <f t="shared" si="25"/>
        <v>Available</v>
      </c>
      <c r="L397" s="2" t="s">
        <v>10</v>
      </c>
      <c r="M397" s="3">
        <v>45378</v>
      </c>
      <c r="N397" s="3" t="str">
        <f t="shared" si="26"/>
        <v>March</v>
      </c>
      <c r="O397" s="2" t="s">
        <v>14</v>
      </c>
      <c r="P397" t="str">
        <f t="shared" si="27"/>
        <v>OK</v>
      </c>
    </row>
    <row r="398" spans="1:16" x14ac:dyDescent="0.3">
      <c r="A398" s="2">
        <f t="shared" si="24"/>
        <v>397</v>
      </c>
      <c r="B398" s="2" t="s">
        <v>27</v>
      </c>
      <c r="C398" s="2" t="s">
        <v>4</v>
      </c>
      <c r="D398" s="1">
        <v>510</v>
      </c>
      <c r="E398" s="1" t="str" cm="1">
        <f t="array" ref="E398">_xlfn.IFS(
D398&lt;20,"Light",
D398&lt;50,"Medium",
D398&lt;100,"Heavy",
D398&gt;=100,"Very Heavy")</f>
        <v>Very Heavy</v>
      </c>
      <c r="F398" s="2">
        <v>222</v>
      </c>
      <c r="G398" s="2" t="str" cm="1">
        <f t="array" ref="G398">_xlfn.IFS(
F398&lt;50,"Small",
F398&lt;100,"Medium",
F398&lt;150,"Large",
F398&gt;=150,"Very Large"
)</f>
        <v>Very Large</v>
      </c>
      <c r="H398" s="2" t="s">
        <v>33</v>
      </c>
      <c r="I398" s="2">
        <v>52.807537000000004</v>
      </c>
      <c r="J398" s="2">
        <v>23.700908999999999</v>
      </c>
      <c r="K398" s="2" t="str">
        <f t="shared" si="25"/>
        <v>Available</v>
      </c>
      <c r="L398" s="2" t="s">
        <v>10</v>
      </c>
      <c r="M398" s="3">
        <v>45379</v>
      </c>
      <c r="N398" s="3" t="str">
        <f t="shared" si="26"/>
        <v>March</v>
      </c>
      <c r="O398" s="2" t="s">
        <v>6</v>
      </c>
      <c r="P398" t="str">
        <f t="shared" si="27"/>
        <v>OK</v>
      </c>
    </row>
    <row r="399" spans="1:16" x14ac:dyDescent="0.3">
      <c r="A399" s="2">
        <f t="shared" si="24"/>
        <v>398</v>
      </c>
      <c r="B399" s="2" t="s">
        <v>29</v>
      </c>
      <c r="C399" s="2" t="s">
        <v>4</v>
      </c>
      <c r="D399" s="1">
        <v>0.32800000000000001</v>
      </c>
      <c r="E399" s="1" t="str" cm="1">
        <f t="array" ref="E399">_xlfn.IFS(
D399&lt;20,"Light",
D399&lt;50,"Medium",
D399&lt;100,"Heavy",
D399&gt;=100,"Very Heavy")</f>
        <v>Light</v>
      </c>
      <c r="F399" s="2">
        <v>23</v>
      </c>
      <c r="G399" s="2" t="str" cm="1">
        <f t="array" ref="G399">_xlfn.IFS(
F399&lt;50,"Small",
F399&lt;100,"Medium",
F399&lt;150,"Large",
F399&gt;=150,"Very Large"
)</f>
        <v>Small</v>
      </c>
      <c r="H399" s="2" t="s">
        <v>33</v>
      </c>
      <c r="I399" s="2">
        <v>50.041504000000003</v>
      </c>
      <c r="J399" s="2">
        <v>19.950218</v>
      </c>
      <c r="K399" s="2" t="str">
        <f t="shared" si="25"/>
        <v>Available</v>
      </c>
      <c r="L399" s="2" t="s">
        <v>10</v>
      </c>
      <c r="M399" s="3">
        <v>45379</v>
      </c>
      <c r="N399" s="3" t="str">
        <f t="shared" si="26"/>
        <v>March</v>
      </c>
      <c r="O399" s="2" t="s">
        <v>6</v>
      </c>
      <c r="P399" t="str">
        <f t="shared" si="27"/>
        <v>OK</v>
      </c>
    </row>
    <row r="400" spans="1:16" x14ac:dyDescent="0.3">
      <c r="A400" s="2">
        <f t="shared" si="24"/>
        <v>399</v>
      </c>
      <c r="B400" s="2" t="s">
        <v>29</v>
      </c>
      <c r="C400" s="2" t="s">
        <v>4</v>
      </c>
      <c r="D400" s="1">
        <v>0.27800000000000002</v>
      </c>
      <c r="E400" s="1" t="str" cm="1">
        <f t="array" ref="E400">_xlfn.IFS(
D400&lt;20,"Light",
D400&lt;50,"Medium",
D400&lt;100,"Heavy",
D400&gt;=100,"Very Heavy")</f>
        <v>Light</v>
      </c>
      <c r="F400" s="2">
        <v>23</v>
      </c>
      <c r="G400" s="2" t="str" cm="1">
        <f t="array" ref="G400">_xlfn.IFS(
F400&lt;50,"Small",
F400&lt;100,"Medium",
F400&lt;150,"Large",
F400&gt;=150,"Very Large"
)</f>
        <v>Small</v>
      </c>
      <c r="H400" s="2" t="s">
        <v>33</v>
      </c>
      <c r="I400" s="2">
        <v>50.041119000000002</v>
      </c>
      <c r="J400" s="2">
        <v>19.949729999999999</v>
      </c>
      <c r="K400" s="2" t="str">
        <f t="shared" si="25"/>
        <v>Available</v>
      </c>
      <c r="L400" s="2" t="s">
        <v>10</v>
      </c>
      <c r="M400" s="3">
        <v>45379</v>
      </c>
      <c r="N400" s="3" t="str">
        <f t="shared" si="26"/>
        <v>March</v>
      </c>
      <c r="O400" s="2" t="s">
        <v>6</v>
      </c>
      <c r="P400" t="str">
        <f t="shared" si="27"/>
        <v>OK</v>
      </c>
    </row>
    <row r="401" spans="1:16" x14ac:dyDescent="0.3">
      <c r="A401" s="2">
        <f t="shared" si="24"/>
        <v>400</v>
      </c>
      <c r="B401" s="2" t="s">
        <v>30</v>
      </c>
      <c r="C401" s="2" t="s">
        <v>15</v>
      </c>
      <c r="D401" s="1">
        <v>0.6</v>
      </c>
      <c r="E401" s="1" t="str" cm="1">
        <f t="array" ref="E401">_xlfn.IFS(
D401&lt;20,"Light",
D401&lt;50,"Medium",
D401&lt;100,"Heavy",
D401&gt;=100,"Very Heavy")</f>
        <v>Light</v>
      </c>
      <c r="F401" s="2">
        <v>18</v>
      </c>
      <c r="G401" s="2" t="str" cm="1">
        <f t="array" ref="G401">_xlfn.IFS(
F401&lt;50,"Small",
F401&lt;100,"Medium",
F401&lt;150,"Large",
F401&gt;=150,"Very Large"
)</f>
        <v>Small</v>
      </c>
      <c r="H401" s="2" t="s">
        <v>33</v>
      </c>
      <c r="I401" s="2">
        <v>49.937804999999997</v>
      </c>
      <c r="J401" s="2">
        <v>14.179716000000001</v>
      </c>
      <c r="K401" s="2" t="str">
        <f t="shared" si="25"/>
        <v>Available</v>
      </c>
      <c r="L401" s="2" t="s">
        <v>10</v>
      </c>
      <c r="M401" s="3">
        <v>45379</v>
      </c>
      <c r="N401" s="3" t="str">
        <f t="shared" si="26"/>
        <v>March</v>
      </c>
      <c r="O401" s="2" t="s">
        <v>14</v>
      </c>
      <c r="P401" t="str">
        <f t="shared" si="27"/>
        <v>OK</v>
      </c>
    </row>
    <row r="402" spans="1:16" x14ac:dyDescent="0.3">
      <c r="A402" s="2">
        <f t="shared" si="24"/>
        <v>401</v>
      </c>
      <c r="B402" s="2" t="s">
        <v>30</v>
      </c>
      <c r="C402" s="2" t="s">
        <v>15</v>
      </c>
      <c r="D402" s="1">
        <v>0.7</v>
      </c>
      <c r="E402" s="1" t="str" cm="1">
        <f t="array" ref="E402">_xlfn.IFS(
D402&lt;20,"Light",
D402&lt;50,"Medium",
D402&lt;100,"Heavy",
D402&gt;=100,"Very Heavy")</f>
        <v>Light</v>
      </c>
      <c r="F402" s="2">
        <v>15</v>
      </c>
      <c r="G402" s="2" t="str" cm="1">
        <f t="array" ref="G402">_xlfn.IFS(
F402&lt;50,"Small",
F402&lt;100,"Medium",
F402&lt;150,"Large",
F402&gt;=150,"Very Large"
)</f>
        <v>Small</v>
      </c>
      <c r="H402" s="2" t="s">
        <v>33</v>
      </c>
      <c r="I402" s="2">
        <v>49.939329999999998</v>
      </c>
      <c r="J402" s="2">
        <v>14.177877000000001</v>
      </c>
      <c r="K402" s="2" t="str">
        <f t="shared" si="25"/>
        <v>Available</v>
      </c>
      <c r="L402" s="2" t="s">
        <v>10</v>
      </c>
      <c r="M402" s="3">
        <v>45379</v>
      </c>
      <c r="N402" s="3" t="str">
        <f t="shared" si="26"/>
        <v>March</v>
      </c>
      <c r="O402" s="2" t="s">
        <v>14</v>
      </c>
      <c r="P402" t="str">
        <f t="shared" si="27"/>
        <v>OK</v>
      </c>
    </row>
    <row r="403" spans="1:16" x14ac:dyDescent="0.3">
      <c r="A403" s="2">
        <f t="shared" si="24"/>
        <v>402</v>
      </c>
      <c r="B403" s="2" t="s">
        <v>29</v>
      </c>
      <c r="C403" s="2" t="s">
        <v>7</v>
      </c>
      <c r="D403" s="1">
        <v>0.27300000000000002</v>
      </c>
      <c r="E403" s="1" t="str" cm="1">
        <f t="array" ref="E403">_xlfn.IFS(
D403&lt;20,"Light",
D403&lt;50,"Medium",
D403&lt;100,"Heavy",
D403&gt;=100,"Very Heavy")</f>
        <v>Light</v>
      </c>
      <c r="F403" s="2">
        <v>23</v>
      </c>
      <c r="G403" s="2" t="str" cm="1">
        <f t="array" ref="G403">_xlfn.IFS(
F403&lt;50,"Small",
F403&lt;100,"Medium",
F403&lt;150,"Large",
F403&gt;=150,"Very Large"
)</f>
        <v>Small</v>
      </c>
      <c r="H403" s="2" t="s">
        <v>33</v>
      </c>
      <c r="I403" s="2">
        <v>47.507156999999999</v>
      </c>
      <c r="J403" s="2">
        <v>18.940379</v>
      </c>
      <c r="K403" s="2" t="str">
        <f t="shared" si="25"/>
        <v>Available</v>
      </c>
      <c r="L403" s="2" t="s">
        <v>10</v>
      </c>
      <c r="M403" s="3">
        <v>45380</v>
      </c>
      <c r="N403" s="3" t="str">
        <f t="shared" si="26"/>
        <v>March</v>
      </c>
      <c r="O403" s="2" t="s">
        <v>6</v>
      </c>
      <c r="P403" t="str">
        <f t="shared" si="27"/>
        <v>OK</v>
      </c>
    </row>
    <row r="404" spans="1:16" x14ac:dyDescent="0.3">
      <c r="A404" s="2">
        <f t="shared" si="24"/>
        <v>403</v>
      </c>
      <c r="B404" s="2" t="s">
        <v>29</v>
      </c>
      <c r="C404" s="2" t="s">
        <v>17</v>
      </c>
      <c r="D404" s="1">
        <v>0.33600000000000002</v>
      </c>
      <c r="E404" s="1" t="str" cm="1">
        <f t="array" ref="E404">_xlfn.IFS(
D404&lt;20,"Light",
D404&lt;50,"Medium",
D404&lt;100,"Heavy",
D404&gt;=100,"Very Heavy")</f>
        <v>Light</v>
      </c>
      <c r="F404" s="2">
        <v>20</v>
      </c>
      <c r="G404" s="2" t="str" cm="1">
        <f t="array" ref="G404">_xlfn.IFS(
F404&lt;50,"Small",
F404&lt;100,"Medium",
F404&lt;150,"Large",
F404&gt;=150,"Very Large"
)</f>
        <v>Small</v>
      </c>
      <c r="H404" s="2" t="s">
        <v>33</v>
      </c>
      <c r="I404" s="2">
        <v>47.780752</v>
      </c>
      <c r="J404" s="2">
        <v>14.383452</v>
      </c>
      <c r="K404" s="2" t="str">
        <f t="shared" si="25"/>
        <v>Available</v>
      </c>
      <c r="L404" s="2" t="s">
        <v>20</v>
      </c>
      <c r="M404" s="3">
        <v>45380</v>
      </c>
      <c r="N404" s="3" t="str">
        <f t="shared" si="26"/>
        <v>March</v>
      </c>
      <c r="O404" s="2" t="s">
        <v>12</v>
      </c>
      <c r="P404" t="str">
        <f t="shared" si="27"/>
        <v>OK</v>
      </c>
    </row>
    <row r="405" spans="1:16" x14ac:dyDescent="0.3">
      <c r="A405" s="2">
        <f t="shared" si="24"/>
        <v>404</v>
      </c>
      <c r="B405" s="2" t="s">
        <v>29</v>
      </c>
      <c r="C405" s="2" t="s">
        <v>17</v>
      </c>
      <c r="D405" s="1">
        <v>0.28999999999999998</v>
      </c>
      <c r="E405" s="1" t="str" cm="1">
        <f t="array" ref="E405">_xlfn.IFS(
D405&lt;20,"Light",
D405&lt;50,"Medium",
D405&lt;100,"Heavy",
D405&gt;=100,"Very Heavy")</f>
        <v>Light</v>
      </c>
      <c r="F405" s="2">
        <v>19</v>
      </c>
      <c r="G405" s="2" t="str" cm="1">
        <f t="array" ref="G405">_xlfn.IFS(
F405&lt;50,"Small",
F405&lt;100,"Medium",
F405&lt;150,"Large",
F405&gt;=150,"Very Large"
)</f>
        <v>Small</v>
      </c>
      <c r="H405" s="2" t="s">
        <v>32</v>
      </c>
      <c r="I405" s="2">
        <v>47.781078000000001</v>
      </c>
      <c r="J405" s="2">
        <v>14.384558999999999</v>
      </c>
      <c r="K405" s="2" t="str">
        <f t="shared" si="25"/>
        <v>Available</v>
      </c>
      <c r="L405" s="2" t="s">
        <v>10</v>
      </c>
      <c r="M405" s="3">
        <v>45380</v>
      </c>
      <c r="N405" s="3" t="str">
        <f t="shared" si="26"/>
        <v>March</v>
      </c>
      <c r="O405" s="2" t="s">
        <v>12</v>
      </c>
      <c r="P405" t="str">
        <f t="shared" si="27"/>
        <v>OK</v>
      </c>
    </row>
    <row r="406" spans="1:16" x14ac:dyDescent="0.3">
      <c r="A406" s="2">
        <f t="shared" si="24"/>
        <v>405</v>
      </c>
      <c r="B406" s="2" t="s">
        <v>29</v>
      </c>
      <c r="C406" s="2" t="s">
        <v>17</v>
      </c>
      <c r="D406" s="1">
        <v>0.33700000000000002</v>
      </c>
      <c r="E406" s="1" t="str" cm="1">
        <f t="array" ref="E406">_xlfn.IFS(
D406&lt;20,"Light",
D406&lt;50,"Medium",
D406&lt;100,"Heavy",
D406&gt;=100,"Very Heavy")</f>
        <v>Light</v>
      </c>
      <c r="F406" s="2">
        <v>22</v>
      </c>
      <c r="G406" s="2" t="str" cm="1">
        <f t="array" ref="G406">_xlfn.IFS(
F406&lt;50,"Small",
F406&lt;100,"Medium",
F406&lt;150,"Large",
F406&gt;=150,"Very Large"
)</f>
        <v>Small</v>
      </c>
      <c r="H406" s="2" t="s">
        <v>32</v>
      </c>
      <c r="I406" s="2">
        <v>47.781087999999997</v>
      </c>
      <c r="J406" s="2">
        <v>14.385534</v>
      </c>
      <c r="K406" s="2" t="str">
        <f t="shared" si="25"/>
        <v>Available</v>
      </c>
      <c r="L406" s="2" t="s">
        <v>10</v>
      </c>
      <c r="M406" s="3">
        <v>45380</v>
      </c>
      <c r="N406" s="3" t="str">
        <f t="shared" si="26"/>
        <v>March</v>
      </c>
      <c r="O406" s="2" t="s">
        <v>12</v>
      </c>
      <c r="P406" t="str">
        <f t="shared" si="27"/>
        <v>OK</v>
      </c>
    </row>
    <row r="407" spans="1:16" x14ac:dyDescent="0.3">
      <c r="A407" s="2">
        <f t="shared" si="24"/>
        <v>406</v>
      </c>
      <c r="B407" s="2" t="s">
        <v>30</v>
      </c>
      <c r="C407" s="2" t="s">
        <v>13</v>
      </c>
      <c r="D407" s="1">
        <v>0.7</v>
      </c>
      <c r="E407" s="1" t="str" cm="1">
        <f t="array" ref="E407">_xlfn.IFS(
D407&lt;20,"Light",
D407&lt;50,"Medium",
D407&lt;100,"Heavy",
D407&gt;=100,"Very Heavy")</f>
        <v>Light</v>
      </c>
      <c r="F407" s="2">
        <v>16</v>
      </c>
      <c r="G407" s="2" t="str" cm="1">
        <f t="array" ref="G407">_xlfn.IFS(
F407&lt;50,"Small",
F407&lt;100,"Medium",
F407&lt;150,"Large",
F407&gt;=150,"Very Large"
)</f>
        <v>Small</v>
      </c>
      <c r="H407" s="2" t="s">
        <v>32</v>
      </c>
      <c r="I407" s="2">
        <v>48.409137999999999</v>
      </c>
      <c r="J407" s="2">
        <v>18.863576999999999</v>
      </c>
      <c r="K407" s="2" t="str">
        <f t="shared" si="25"/>
        <v>Available</v>
      </c>
      <c r="L407" s="2" t="s">
        <v>10</v>
      </c>
      <c r="M407" s="3">
        <v>45380</v>
      </c>
      <c r="N407" s="3" t="str">
        <f t="shared" si="26"/>
        <v>March</v>
      </c>
      <c r="O407" s="2" t="s">
        <v>14</v>
      </c>
      <c r="P407" t="str">
        <f t="shared" si="27"/>
        <v>OK</v>
      </c>
    </row>
    <row r="408" spans="1:16" x14ac:dyDescent="0.3">
      <c r="A408" s="2">
        <f t="shared" si="24"/>
        <v>407</v>
      </c>
      <c r="B408" s="2" t="s">
        <v>28</v>
      </c>
      <c r="C408" s="2" t="s">
        <v>13</v>
      </c>
      <c r="D408" s="1">
        <v>16</v>
      </c>
      <c r="E408" s="1" t="str" cm="1">
        <f t="array" ref="E408">_xlfn.IFS(
D408&lt;20,"Light",
D408&lt;50,"Medium",
D408&lt;100,"Heavy",
D408&gt;=100,"Very Heavy")</f>
        <v>Light</v>
      </c>
      <c r="F408" s="2">
        <v>62</v>
      </c>
      <c r="G408" s="2" t="str" cm="1">
        <f t="array" ref="G408">_xlfn.IFS(
F408&lt;50,"Small",
F408&lt;100,"Medium",
F408&lt;150,"Large",
F408&gt;=150,"Very Large"
)</f>
        <v>Medium</v>
      </c>
      <c r="H408" s="2" t="s">
        <v>33</v>
      </c>
      <c r="I408" s="2">
        <v>48.409447999999998</v>
      </c>
      <c r="J408" s="2">
        <v>18.845590999999999</v>
      </c>
      <c r="K408" s="2" t="str">
        <f t="shared" si="25"/>
        <v>Available</v>
      </c>
      <c r="L408" s="2" t="s">
        <v>10</v>
      </c>
      <c r="M408" s="3">
        <v>45380</v>
      </c>
      <c r="N408" s="3" t="str">
        <f t="shared" si="26"/>
        <v>March</v>
      </c>
      <c r="O408" s="2" t="s">
        <v>14</v>
      </c>
      <c r="P408" t="str">
        <f t="shared" si="27"/>
        <v>OK</v>
      </c>
    </row>
    <row r="409" spans="1:16" x14ac:dyDescent="0.3">
      <c r="A409" s="2">
        <f t="shared" si="24"/>
        <v>408</v>
      </c>
      <c r="B409" s="2" t="s">
        <v>29</v>
      </c>
      <c r="C409" s="2" t="s">
        <v>4</v>
      </c>
      <c r="D409" s="1">
        <v>0.28899999999999998</v>
      </c>
      <c r="E409" s="1" t="str" cm="1">
        <f t="array" ref="E409">_xlfn.IFS(
D409&lt;20,"Light",
D409&lt;50,"Medium",
D409&lt;100,"Heavy",
D409&gt;=100,"Very Heavy")</f>
        <v>Light</v>
      </c>
      <c r="F409" s="2">
        <v>24</v>
      </c>
      <c r="G409" s="2" t="str" cm="1">
        <f t="array" ref="G409">_xlfn.IFS(
F409&lt;50,"Small",
F409&lt;100,"Medium",
F409&lt;150,"Large",
F409&gt;=150,"Very Large"
)</f>
        <v>Small</v>
      </c>
      <c r="H409" s="2" t="s">
        <v>32</v>
      </c>
      <c r="I409" s="2">
        <v>50.041381999999999</v>
      </c>
      <c r="J409" s="2">
        <v>19.949403</v>
      </c>
      <c r="K409" s="2" t="str">
        <f t="shared" si="25"/>
        <v>Available</v>
      </c>
      <c r="L409" s="2" t="s">
        <v>10</v>
      </c>
      <c r="M409" s="3">
        <v>45381</v>
      </c>
      <c r="N409" s="3" t="str">
        <f t="shared" si="26"/>
        <v>March</v>
      </c>
      <c r="O409" s="2" t="s">
        <v>6</v>
      </c>
      <c r="P409" t="str">
        <f t="shared" si="27"/>
        <v>OK</v>
      </c>
    </row>
    <row r="410" spans="1:16" x14ac:dyDescent="0.3">
      <c r="A410" s="2">
        <f t="shared" si="24"/>
        <v>409</v>
      </c>
      <c r="B410" s="2" t="s">
        <v>30</v>
      </c>
      <c r="C410" s="2" t="s">
        <v>11</v>
      </c>
      <c r="D410" s="1">
        <v>1.1000000000000001</v>
      </c>
      <c r="E410" s="1" t="str" cm="1">
        <f t="array" ref="E410">_xlfn.IFS(
D410&lt;20,"Light",
D410&lt;50,"Medium",
D410&lt;100,"Heavy",
D410&gt;=100,"Very Heavy")</f>
        <v>Light</v>
      </c>
      <c r="F410" s="2">
        <v>25</v>
      </c>
      <c r="G410" s="2" t="str" cm="1">
        <f t="array" ref="G410">_xlfn.IFS(
F410&lt;50,"Small",
F410&lt;100,"Medium",
F410&lt;150,"Large",
F410&gt;=150,"Very Large"
)</f>
        <v>Small</v>
      </c>
      <c r="H410" s="2" t="s">
        <v>32</v>
      </c>
      <c r="I410" s="2">
        <v>48.160772999999999</v>
      </c>
      <c r="J410" s="2">
        <v>11.493679999999999</v>
      </c>
      <c r="K410" s="2" t="str">
        <f t="shared" si="25"/>
        <v>Available</v>
      </c>
      <c r="L410" s="2" t="s">
        <v>10</v>
      </c>
      <c r="M410" s="3">
        <v>45381</v>
      </c>
      <c r="N410" s="3" t="str">
        <f t="shared" si="26"/>
        <v>March</v>
      </c>
      <c r="O410" s="2" t="s">
        <v>12</v>
      </c>
      <c r="P410" t="str">
        <f t="shared" si="27"/>
        <v>OK</v>
      </c>
    </row>
    <row r="411" spans="1:16" x14ac:dyDescent="0.3">
      <c r="A411" s="2">
        <f t="shared" si="24"/>
        <v>410</v>
      </c>
      <c r="B411" s="2" t="s">
        <v>30</v>
      </c>
      <c r="C411" s="2" t="s">
        <v>11</v>
      </c>
      <c r="D411" s="1">
        <v>0.6</v>
      </c>
      <c r="E411" s="1" t="str" cm="1">
        <f t="array" ref="E411">_xlfn.IFS(
D411&lt;20,"Light",
D411&lt;50,"Medium",
D411&lt;100,"Heavy",
D411&gt;=100,"Very Heavy")</f>
        <v>Light</v>
      </c>
      <c r="F411" s="2">
        <v>15</v>
      </c>
      <c r="G411" s="2" t="str" cm="1">
        <f t="array" ref="G411">_xlfn.IFS(
F411&lt;50,"Small",
F411&lt;100,"Medium",
F411&lt;150,"Large",
F411&gt;=150,"Very Large"
)</f>
        <v>Small</v>
      </c>
      <c r="H411" s="2" t="s">
        <v>33</v>
      </c>
      <c r="I411" s="2">
        <v>48.160812999999997</v>
      </c>
      <c r="J411" s="2">
        <v>11.492539000000001</v>
      </c>
      <c r="K411" s="2" t="str">
        <f t="shared" si="25"/>
        <v>Available</v>
      </c>
      <c r="L411" s="2" t="s">
        <v>10</v>
      </c>
      <c r="M411" s="3">
        <v>45381</v>
      </c>
      <c r="N411" s="3" t="str">
        <f t="shared" si="26"/>
        <v>March</v>
      </c>
      <c r="O411" s="2" t="s">
        <v>12</v>
      </c>
      <c r="P411" t="str">
        <f t="shared" si="27"/>
        <v>OK</v>
      </c>
    </row>
    <row r="412" spans="1:16" x14ac:dyDescent="0.3">
      <c r="A412" s="2">
        <f t="shared" si="24"/>
        <v>411</v>
      </c>
      <c r="B412" s="2" t="s">
        <v>30</v>
      </c>
      <c r="C412" s="2" t="s">
        <v>11</v>
      </c>
      <c r="D412" s="1">
        <v>0.5</v>
      </c>
      <c r="E412" s="1" t="str" cm="1">
        <f t="array" ref="E412">_xlfn.IFS(
D412&lt;20,"Light",
D412&lt;50,"Medium",
D412&lt;100,"Heavy",
D412&gt;=100,"Very Heavy")</f>
        <v>Light</v>
      </c>
      <c r="F412" s="2">
        <v>20</v>
      </c>
      <c r="G412" s="2" t="str" cm="1">
        <f t="array" ref="G412">_xlfn.IFS(
F412&lt;50,"Small",
F412&lt;100,"Medium",
F412&lt;150,"Large",
F412&gt;=150,"Very Large"
)</f>
        <v>Small</v>
      </c>
      <c r="H412" s="2" t="s">
        <v>33</v>
      </c>
      <c r="I412" s="2">
        <v>48.161605000000002</v>
      </c>
      <c r="J412" s="2">
        <v>11.491149999999999</v>
      </c>
      <c r="K412" s="2" t="str">
        <f t="shared" si="25"/>
        <v>Available</v>
      </c>
      <c r="L412" s="2" t="s">
        <v>10</v>
      </c>
      <c r="M412" s="3">
        <v>45381</v>
      </c>
      <c r="N412" s="3" t="str">
        <f t="shared" si="26"/>
        <v>March</v>
      </c>
      <c r="O412" s="2" t="s">
        <v>12</v>
      </c>
      <c r="P412" t="str">
        <f t="shared" si="27"/>
        <v>OK</v>
      </c>
    </row>
    <row r="413" spans="1:16" x14ac:dyDescent="0.3">
      <c r="A413" s="2">
        <f t="shared" si="24"/>
        <v>412</v>
      </c>
      <c r="B413" s="2" t="s">
        <v>30</v>
      </c>
      <c r="C413" s="2" t="s">
        <v>11</v>
      </c>
      <c r="D413" s="1">
        <v>0.7</v>
      </c>
      <c r="E413" s="1" t="str" cm="1">
        <f t="array" ref="E413">_xlfn.IFS(
D413&lt;20,"Light",
D413&lt;50,"Medium",
D413&lt;100,"Heavy",
D413&gt;=100,"Very Heavy")</f>
        <v>Light</v>
      </c>
      <c r="F413" s="2">
        <v>20</v>
      </c>
      <c r="G413" s="2" t="str" cm="1">
        <f t="array" ref="G413">_xlfn.IFS(
F413&lt;50,"Small",
F413&lt;100,"Medium",
F413&lt;150,"Large",
F413&gt;=150,"Very Large"
)</f>
        <v>Small</v>
      </c>
      <c r="H413" s="2" t="s">
        <v>32</v>
      </c>
      <c r="I413" s="2">
        <v>48.162593000000001</v>
      </c>
      <c r="J413" s="2">
        <v>11.491872000000001</v>
      </c>
      <c r="K413" s="2" t="str">
        <f t="shared" si="25"/>
        <v>Available</v>
      </c>
      <c r="L413" s="2" t="s">
        <v>10</v>
      </c>
      <c r="M413" s="3">
        <v>45381</v>
      </c>
      <c r="N413" s="3" t="str">
        <f t="shared" si="26"/>
        <v>March</v>
      </c>
      <c r="O413" s="2" t="s">
        <v>12</v>
      </c>
      <c r="P413" t="str">
        <f t="shared" si="27"/>
        <v>OK</v>
      </c>
    </row>
    <row r="414" spans="1:16" x14ac:dyDescent="0.3">
      <c r="A414" s="2">
        <f t="shared" si="24"/>
        <v>413</v>
      </c>
      <c r="B414" s="2" t="s">
        <v>30</v>
      </c>
      <c r="C414" s="2" t="s">
        <v>11</v>
      </c>
      <c r="D414" s="1">
        <v>0.6</v>
      </c>
      <c r="E414" s="1" t="str" cm="1">
        <f t="array" ref="E414">_xlfn.IFS(
D414&lt;20,"Light",
D414&lt;50,"Medium",
D414&lt;100,"Heavy",
D414&gt;=100,"Very Heavy")</f>
        <v>Light</v>
      </c>
      <c r="F414" s="2">
        <v>15</v>
      </c>
      <c r="G414" s="2" t="str" cm="1">
        <f t="array" ref="G414">_xlfn.IFS(
F414&lt;50,"Small",
F414&lt;100,"Medium",
F414&lt;150,"Large",
F414&gt;=150,"Very Large"
)</f>
        <v>Small</v>
      </c>
      <c r="H414" s="2" t="s">
        <v>33</v>
      </c>
      <c r="I414" s="2">
        <v>48.16142</v>
      </c>
      <c r="J414" s="2">
        <v>11.495056</v>
      </c>
      <c r="K414" s="2" t="str">
        <f t="shared" si="25"/>
        <v>Available</v>
      </c>
      <c r="L414" s="2" t="s">
        <v>10</v>
      </c>
      <c r="M414" s="3">
        <v>45381</v>
      </c>
      <c r="N414" s="3" t="str">
        <f t="shared" si="26"/>
        <v>March</v>
      </c>
      <c r="O414" s="2" t="s">
        <v>12</v>
      </c>
      <c r="P414" t="str">
        <f t="shared" si="27"/>
        <v>OK</v>
      </c>
    </row>
    <row r="415" spans="1:16" x14ac:dyDescent="0.3">
      <c r="A415" s="2">
        <f t="shared" si="24"/>
        <v>414</v>
      </c>
      <c r="B415" s="2" t="s">
        <v>30</v>
      </c>
      <c r="C415" s="2" t="s">
        <v>11</v>
      </c>
      <c r="D415" s="1">
        <v>0.5</v>
      </c>
      <c r="E415" s="1" t="str" cm="1">
        <f t="array" ref="E415">_xlfn.IFS(
D415&lt;20,"Light",
D415&lt;50,"Medium",
D415&lt;100,"Heavy",
D415&gt;=100,"Very Heavy")</f>
        <v>Light</v>
      </c>
      <c r="F415" s="2">
        <v>16</v>
      </c>
      <c r="G415" s="2" t="str" cm="1">
        <f t="array" ref="G415">_xlfn.IFS(
F415&lt;50,"Small",
F415&lt;100,"Medium",
F415&lt;150,"Large",
F415&gt;=150,"Very Large"
)</f>
        <v>Small</v>
      </c>
      <c r="H415" s="2" t="s">
        <v>33</v>
      </c>
      <c r="I415" s="2">
        <v>48.162548999999999</v>
      </c>
      <c r="J415" s="2">
        <v>11.492991</v>
      </c>
      <c r="K415" s="2" t="str">
        <f t="shared" si="25"/>
        <v>Available</v>
      </c>
      <c r="L415" s="2" t="s">
        <v>10</v>
      </c>
      <c r="M415" s="3">
        <v>45381</v>
      </c>
      <c r="N415" s="3" t="str">
        <f t="shared" si="26"/>
        <v>March</v>
      </c>
      <c r="O415" s="2" t="s">
        <v>12</v>
      </c>
      <c r="P415" t="str">
        <f t="shared" si="27"/>
        <v>OK</v>
      </c>
    </row>
    <row r="416" spans="1:16" x14ac:dyDescent="0.3">
      <c r="A416" s="2">
        <f t="shared" si="24"/>
        <v>415</v>
      </c>
      <c r="B416" s="2" t="s">
        <v>30</v>
      </c>
      <c r="C416" s="2" t="s">
        <v>11</v>
      </c>
      <c r="D416" s="1">
        <v>0.9</v>
      </c>
      <c r="E416" s="1" t="str" cm="1">
        <f t="array" ref="E416">_xlfn.IFS(
D416&lt;20,"Light",
D416&lt;50,"Medium",
D416&lt;100,"Heavy",
D416&gt;=100,"Very Heavy")</f>
        <v>Light</v>
      </c>
      <c r="F416" s="2">
        <v>19</v>
      </c>
      <c r="G416" s="2" t="str" cm="1">
        <f t="array" ref="G416">_xlfn.IFS(
F416&lt;50,"Small",
F416&lt;100,"Medium",
F416&lt;150,"Large",
F416&gt;=150,"Very Large"
)</f>
        <v>Small</v>
      </c>
      <c r="H416" s="2" t="s">
        <v>32</v>
      </c>
      <c r="I416" s="2">
        <v>48.161645999999998</v>
      </c>
      <c r="J416" s="2">
        <v>11.493511</v>
      </c>
      <c r="K416" s="2" t="str">
        <f t="shared" si="25"/>
        <v>Available</v>
      </c>
      <c r="L416" s="2" t="s">
        <v>10</v>
      </c>
      <c r="M416" s="3">
        <v>45381</v>
      </c>
      <c r="N416" s="3" t="str">
        <f t="shared" si="26"/>
        <v>March</v>
      </c>
      <c r="O416" s="2" t="s">
        <v>12</v>
      </c>
      <c r="P416" t="str">
        <f t="shared" si="27"/>
        <v>OK</v>
      </c>
    </row>
    <row r="417" spans="1:16" x14ac:dyDescent="0.3">
      <c r="A417" s="2">
        <f t="shared" si="24"/>
        <v>416</v>
      </c>
      <c r="B417" s="2" t="s">
        <v>28</v>
      </c>
      <c r="C417" s="2" t="s">
        <v>13</v>
      </c>
      <c r="D417" s="1">
        <v>21</v>
      </c>
      <c r="E417" s="1" t="str" cm="1">
        <f t="array" ref="E417">_xlfn.IFS(
D417&lt;20,"Light",
D417&lt;50,"Medium",
D417&lt;100,"Heavy",
D417&gt;=100,"Very Heavy")</f>
        <v>Medium</v>
      </c>
      <c r="F417" s="2">
        <v>85</v>
      </c>
      <c r="G417" s="2" t="str" cm="1">
        <f t="array" ref="G417">_xlfn.IFS(
F417&lt;50,"Small",
F417&lt;100,"Medium",
F417&lt;150,"Large",
F417&gt;=150,"Very Large"
)</f>
        <v>Medium</v>
      </c>
      <c r="H417" s="2" t="s">
        <v>32</v>
      </c>
      <c r="I417" s="2">
        <v>48.405213000000003</v>
      </c>
      <c r="J417" s="2">
        <v>18.84085</v>
      </c>
      <c r="K417" s="2" t="str">
        <f t="shared" si="25"/>
        <v>Available</v>
      </c>
      <c r="L417" s="2" t="s">
        <v>10</v>
      </c>
      <c r="M417" s="3">
        <v>45381</v>
      </c>
      <c r="N417" s="3" t="str">
        <f t="shared" si="26"/>
        <v>March</v>
      </c>
      <c r="O417" s="2" t="s">
        <v>14</v>
      </c>
      <c r="P417" t="str">
        <f t="shared" si="27"/>
        <v>OK</v>
      </c>
    </row>
    <row r="418" spans="1:16" x14ac:dyDescent="0.3">
      <c r="A418" s="2">
        <f t="shared" si="24"/>
        <v>417</v>
      </c>
      <c r="B418" s="2" t="s">
        <v>29</v>
      </c>
      <c r="C418" s="2" t="s">
        <v>15</v>
      </c>
      <c r="D418" s="1">
        <v>0.28799999999999998</v>
      </c>
      <c r="E418" s="1" t="str" cm="1">
        <f t="array" ref="E418">_xlfn.IFS(
D418&lt;20,"Light",
D418&lt;50,"Medium",
D418&lt;100,"Heavy",
D418&gt;=100,"Very Heavy")</f>
        <v>Light</v>
      </c>
      <c r="F418" s="2">
        <v>18</v>
      </c>
      <c r="G418" s="2" t="str" cm="1">
        <f t="array" ref="G418">_xlfn.IFS(
F418&lt;50,"Small",
F418&lt;100,"Medium",
F418&lt;150,"Large",
F418&gt;=150,"Very Large"
)</f>
        <v>Small</v>
      </c>
      <c r="H418" s="2" t="s">
        <v>32</v>
      </c>
      <c r="I418" s="2">
        <v>49.939</v>
      </c>
      <c r="J418" s="2">
        <v>14.182238999999999</v>
      </c>
      <c r="K418" s="2" t="str">
        <f t="shared" si="25"/>
        <v>Available</v>
      </c>
      <c r="L418" s="2" t="s">
        <v>10</v>
      </c>
      <c r="M418" s="3">
        <v>45381</v>
      </c>
      <c r="N418" s="3" t="str">
        <f t="shared" si="26"/>
        <v>March</v>
      </c>
      <c r="O418" s="2" t="s">
        <v>14</v>
      </c>
      <c r="P418" t="str">
        <f t="shared" si="27"/>
        <v>OK</v>
      </c>
    </row>
    <row r="419" spans="1:16" x14ac:dyDescent="0.3">
      <c r="A419" s="2">
        <f t="shared" si="24"/>
        <v>418</v>
      </c>
      <c r="B419" s="2" t="s">
        <v>29</v>
      </c>
      <c r="C419" s="2" t="s">
        <v>13</v>
      </c>
      <c r="D419" s="1">
        <v>0.28699999999999998</v>
      </c>
      <c r="E419" s="1" t="str" cm="1">
        <f t="array" ref="E419">_xlfn.IFS(
D419&lt;20,"Light",
D419&lt;50,"Medium",
D419&lt;100,"Heavy",
D419&gt;=100,"Very Heavy")</f>
        <v>Light</v>
      </c>
      <c r="F419" s="2">
        <v>21</v>
      </c>
      <c r="G419" s="2" t="str" cm="1">
        <f t="array" ref="G419">_xlfn.IFS(
F419&lt;50,"Small",
F419&lt;100,"Medium",
F419&lt;150,"Large",
F419&gt;=150,"Very Large"
)</f>
        <v>Small</v>
      </c>
      <c r="H419" s="2" t="s">
        <v>32</v>
      </c>
      <c r="I419" s="2">
        <v>48.224896999999999</v>
      </c>
      <c r="J419" s="2">
        <v>17.085978999999998</v>
      </c>
      <c r="K419" s="2" t="str">
        <f t="shared" si="25"/>
        <v>Available</v>
      </c>
      <c r="L419" s="2" t="s">
        <v>10</v>
      </c>
      <c r="M419" s="3">
        <v>45381</v>
      </c>
      <c r="N419" s="3" t="str">
        <f t="shared" si="26"/>
        <v>March</v>
      </c>
      <c r="O419" s="2" t="s">
        <v>14</v>
      </c>
      <c r="P419" t="str">
        <f t="shared" si="27"/>
        <v>OK</v>
      </c>
    </row>
    <row r="420" spans="1:16" x14ac:dyDescent="0.3">
      <c r="A420" s="2">
        <f t="shared" si="24"/>
        <v>419</v>
      </c>
      <c r="B420" s="2" t="s">
        <v>29</v>
      </c>
      <c r="C420" s="2" t="s">
        <v>13</v>
      </c>
      <c r="D420" s="1">
        <v>0.28599999999999998</v>
      </c>
      <c r="E420" s="1" t="str" cm="1">
        <f t="array" ref="E420">_xlfn.IFS(
D420&lt;20,"Light",
D420&lt;50,"Medium",
D420&lt;100,"Heavy",
D420&gt;=100,"Very Heavy")</f>
        <v>Light</v>
      </c>
      <c r="F420" s="2">
        <v>18</v>
      </c>
      <c r="G420" s="2" t="str" cm="1">
        <f t="array" ref="G420">_xlfn.IFS(
F420&lt;50,"Small",
F420&lt;100,"Medium",
F420&lt;150,"Large",
F420&gt;=150,"Very Large"
)</f>
        <v>Small</v>
      </c>
      <c r="H420" s="2" t="s">
        <v>32</v>
      </c>
      <c r="I420" s="2">
        <v>48.228960999999998</v>
      </c>
      <c r="J420" s="2">
        <v>17.076478000000002</v>
      </c>
      <c r="K420" s="2" t="str">
        <f t="shared" si="25"/>
        <v>Available</v>
      </c>
      <c r="L420" s="2" t="s">
        <v>10</v>
      </c>
      <c r="M420" s="3">
        <v>45381</v>
      </c>
      <c r="N420" s="3" t="str">
        <f t="shared" si="26"/>
        <v>March</v>
      </c>
      <c r="O420" s="2" t="s">
        <v>14</v>
      </c>
      <c r="P420" t="str">
        <f t="shared" si="27"/>
        <v>OK</v>
      </c>
    </row>
    <row r="421" spans="1:16" x14ac:dyDescent="0.3">
      <c r="A421" s="2">
        <f t="shared" si="24"/>
        <v>420</v>
      </c>
      <c r="B421" s="2" t="s">
        <v>27</v>
      </c>
      <c r="C421" s="2" t="s">
        <v>4</v>
      </c>
      <c r="D421" s="1">
        <v>970</v>
      </c>
      <c r="E421" s="1" t="str" cm="1">
        <f t="array" ref="E421">_xlfn.IFS(
D421&lt;20,"Light",
D421&lt;50,"Medium",
D421&lt;100,"Heavy",
D421&gt;=100,"Very Heavy")</f>
        <v>Very Heavy</v>
      </c>
      <c r="F421" s="2">
        <v>307</v>
      </c>
      <c r="G421" s="2" t="str" cm="1">
        <f t="array" ref="G421">_xlfn.IFS(
F421&lt;50,"Small",
F421&lt;100,"Medium",
F421&lt;150,"Large",
F421&gt;=150,"Very Large"
)</f>
        <v>Very Large</v>
      </c>
      <c r="H421" s="2" t="s">
        <v>32</v>
      </c>
      <c r="I421" s="2">
        <v>52.805402000000001</v>
      </c>
      <c r="J421" s="2">
        <v>23.691244000000001</v>
      </c>
      <c r="K421" s="2" t="str">
        <f t="shared" si="25"/>
        <v>Available</v>
      </c>
      <c r="L421" s="2" t="s">
        <v>10</v>
      </c>
      <c r="M421" s="3">
        <v>45382</v>
      </c>
      <c r="N421" s="3" t="str">
        <f t="shared" si="26"/>
        <v>March</v>
      </c>
      <c r="O421" s="2" t="s">
        <v>6</v>
      </c>
      <c r="P421" t="str">
        <f t="shared" si="27"/>
        <v>OK</v>
      </c>
    </row>
    <row r="422" spans="1:16" x14ac:dyDescent="0.3">
      <c r="A422" s="2">
        <f t="shared" si="24"/>
        <v>421</v>
      </c>
      <c r="B422" s="2" t="s">
        <v>29</v>
      </c>
      <c r="C422" s="2" t="s">
        <v>4</v>
      </c>
      <c r="D422" s="1">
        <v>0.32300000000000001</v>
      </c>
      <c r="E422" s="1" t="str" cm="1">
        <f t="array" ref="E422">_xlfn.IFS(
D422&lt;20,"Light",
D422&lt;50,"Medium",
D422&lt;100,"Heavy",
D422&gt;=100,"Very Heavy")</f>
        <v>Light</v>
      </c>
      <c r="F422" s="2">
        <v>20</v>
      </c>
      <c r="G422" s="2" t="str" cm="1">
        <f t="array" ref="G422">_xlfn.IFS(
F422&lt;50,"Small",
F422&lt;100,"Medium",
F422&lt;150,"Large",
F422&gt;=150,"Very Large"
)</f>
        <v>Small</v>
      </c>
      <c r="H422" s="2" t="s">
        <v>33</v>
      </c>
      <c r="I422" s="2">
        <v>50.041365999999996</v>
      </c>
      <c r="J422" s="2">
        <v>19.949444</v>
      </c>
      <c r="K422" s="2" t="str">
        <f t="shared" si="25"/>
        <v>Available</v>
      </c>
      <c r="L422" s="2" t="s">
        <v>10</v>
      </c>
      <c r="M422" s="3">
        <v>45382</v>
      </c>
      <c r="N422" s="3" t="str">
        <f t="shared" si="26"/>
        <v>March</v>
      </c>
      <c r="O422" s="2" t="s">
        <v>6</v>
      </c>
      <c r="P422" t="str">
        <f t="shared" si="27"/>
        <v>OK</v>
      </c>
    </row>
    <row r="423" spans="1:16" x14ac:dyDescent="0.3">
      <c r="A423" s="2">
        <f t="shared" si="24"/>
        <v>422</v>
      </c>
      <c r="B423" s="2" t="s">
        <v>29</v>
      </c>
      <c r="C423" s="2" t="s">
        <v>7</v>
      </c>
      <c r="D423" s="1">
        <v>0.297366504854368</v>
      </c>
      <c r="E423" s="1" t="str" cm="1">
        <f t="array" ref="E423">_xlfn.IFS(
D423&lt;20,"Light",
D423&lt;50,"Medium",
D423&lt;100,"Heavy",
D423&gt;=100,"Very Heavy")</f>
        <v>Light</v>
      </c>
      <c r="F423" s="2">
        <v>19</v>
      </c>
      <c r="G423" s="2" t="str" cm="1">
        <f t="array" ref="G423">_xlfn.IFS(
F423&lt;50,"Small",
F423&lt;100,"Medium",
F423&lt;150,"Large",
F423&gt;=150,"Very Large"
)</f>
        <v>Small</v>
      </c>
      <c r="H423" s="2" t="s">
        <v>33</v>
      </c>
      <c r="I423" s="2">
        <v>47.509537999999999</v>
      </c>
      <c r="J423" s="2">
        <v>18.945968000000001</v>
      </c>
      <c r="K423" s="2" t="str">
        <f t="shared" si="25"/>
        <v>Available</v>
      </c>
      <c r="L423" s="2" t="s">
        <v>10</v>
      </c>
      <c r="M423" s="3">
        <v>45382</v>
      </c>
      <c r="N423" s="3" t="str">
        <f t="shared" si="26"/>
        <v>March</v>
      </c>
      <c r="O423" s="2" t="s">
        <v>6</v>
      </c>
      <c r="P423" t="str">
        <f t="shared" si="27"/>
        <v>OK</v>
      </c>
    </row>
    <row r="424" spans="1:16" x14ac:dyDescent="0.3">
      <c r="A424" s="2">
        <f t="shared" si="24"/>
        <v>423</v>
      </c>
      <c r="B424" s="2" t="s">
        <v>30</v>
      </c>
      <c r="C424" s="2" t="s">
        <v>13</v>
      </c>
      <c r="D424" s="1">
        <v>0.9</v>
      </c>
      <c r="E424" s="1" t="str" cm="1">
        <f t="array" ref="E424">_xlfn.IFS(
D424&lt;20,"Light",
D424&lt;50,"Medium",
D424&lt;100,"Heavy",
D424&gt;=100,"Very Heavy")</f>
        <v>Light</v>
      </c>
      <c r="F424" s="2">
        <v>19</v>
      </c>
      <c r="G424" s="2" t="str" cm="1">
        <f t="array" ref="G424">_xlfn.IFS(
F424&lt;50,"Small",
F424&lt;100,"Medium",
F424&lt;150,"Large",
F424&gt;=150,"Very Large"
)</f>
        <v>Small</v>
      </c>
      <c r="H424" s="2" t="s">
        <v>33</v>
      </c>
      <c r="I424" s="2">
        <v>48.407463999999997</v>
      </c>
      <c r="J424" s="2">
        <v>18.87406</v>
      </c>
      <c r="K424" s="2" t="str">
        <f t="shared" si="25"/>
        <v>Available</v>
      </c>
      <c r="L424" s="2" t="s">
        <v>10</v>
      </c>
      <c r="M424" s="3">
        <v>45382</v>
      </c>
      <c r="N424" s="3" t="str">
        <f t="shared" si="26"/>
        <v>March</v>
      </c>
      <c r="O424" s="2" t="s">
        <v>14</v>
      </c>
      <c r="P424" t="str">
        <f t="shared" si="27"/>
        <v>OK</v>
      </c>
    </row>
    <row r="425" spans="1:16" x14ac:dyDescent="0.3">
      <c r="A425" s="2">
        <f t="shared" si="24"/>
        <v>424</v>
      </c>
      <c r="B425" s="2" t="s">
        <v>28</v>
      </c>
      <c r="C425" s="2" t="s">
        <v>13</v>
      </c>
      <c r="D425" s="1">
        <v>20</v>
      </c>
      <c r="E425" s="1" t="str" cm="1">
        <f t="array" ref="E425">_xlfn.IFS(
D425&lt;20,"Light",
D425&lt;50,"Medium",
D425&lt;100,"Heavy",
D425&gt;=100,"Very Heavy")</f>
        <v>Medium</v>
      </c>
      <c r="F425" s="2">
        <v>78</v>
      </c>
      <c r="G425" s="2" t="str" cm="1">
        <f t="array" ref="G425">_xlfn.IFS(
F425&lt;50,"Small",
F425&lt;100,"Medium",
F425&lt;150,"Large",
F425&gt;=150,"Very Large"
)</f>
        <v>Medium</v>
      </c>
      <c r="H425" s="2" t="s">
        <v>33</v>
      </c>
      <c r="I425" s="2">
        <v>48.409790000000001</v>
      </c>
      <c r="J425" s="2">
        <v>18.870341</v>
      </c>
      <c r="K425" s="2" t="str">
        <f t="shared" si="25"/>
        <v>Available</v>
      </c>
      <c r="L425" s="2" t="s">
        <v>10</v>
      </c>
      <c r="M425" s="3">
        <v>45382</v>
      </c>
      <c r="N425" s="3" t="str">
        <f t="shared" si="26"/>
        <v>March</v>
      </c>
      <c r="O425" s="2" t="s">
        <v>14</v>
      </c>
      <c r="P425" t="str">
        <f t="shared" si="27"/>
        <v>OK</v>
      </c>
    </row>
    <row r="426" spans="1:16" x14ac:dyDescent="0.3">
      <c r="A426" s="2">
        <f t="shared" si="24"/>
        <v>425</v>
      </c>
      <c r="B426" s="2" t="s">
        <v>27</v>
      </c>
      <c r="C426" s="2" t="s">
        <v>4</v>
      </c>
      <c r="D426" s="1">
        <v>459</v>
      </c>
      <c r="E426" s="1" t="str" cm="1">
        <f t="array" ref="E426">_xlfn.IFS(
D426&lt;20,"Light",
D426&lt;50,"Medium",
D426&lt;100,"Heavy",
D426&gt;=100,"Very Heavy")</f>
        <v>Very Heavy</v>
      </c>
      <c r="F426" s="2">
        <v>212</v>
      </c>
      <c r="G426" s="2" t="str" cm="1">
        <f t="array" ref="G426">_xlfn.IFS(
F426&lt;50,"Small",
F426&lt;100,"Medium",
F426&lt;150,"Large",
F426&gt;=150,"Very Large"
)</f>
        <v>Very Large</v>
      </c>
      <c r="H426" s="2" t="s">
        <v>33</v>
      </c>
      <c r="I426" s="2">
        <v>52.807403000000001</v>
      </c>
      <c r="J426" s="2">
        <v>23.683043999999999</v>
      </c>
      <c r="K426" s="2" t="str">
        <f t="shared" si="25"/>
        <v>Available</v>
      </c>
      <c r="L426" s="2" t="s">
        <v>10</v>
      </c>
      <c r="M426" s="3">
        <v>45383</v>
      </c>
      <c r="N426" s="3" t="str">
        <f t="shared" si="26"/>
        <v>April</v>
      </c>
      <c r="O426" s="2" t="s">
        <v>6</v>
      </c>
      <c r="P426" t="str">
        <f t="shared" si="27"/>
        <v>OK</v>
      </c>
    </row>
    <row r="427" spans="1:16" x14ac:dyDescent="0.3">
      <c r="A427" s="2">
        <f t="shared" si="24"/>
        <v>426</v>
      </c>
      <c r="B427" s="2" t="s">
        <v>27</v>
      </c>
      <c r="C427" s="2" t="s">
        <v>4</v>
      </c>
      <c r="D427" s="1">
        <v>705</v>
      </c>
      <c r="E427" s="1" t="str" cm="1">
        <f t="array" ref="E427">_xlfn.IFS(
D427&lt;20,"Light",
D427&lt;50,"Medium",
D427&lt;100,"Heavy",
D427&gt;=100,"Very Heavy")</f>
        <v>Very Heavy</v>
      </c>
      <c r="F427" s="2">
        <v>280</v>
      </c>
      <c r="G427" s="2" t="str" cm="1">
        <f t="array" ref="G427">_xlfn.IFS(
F427&lt;50,"Small",
F427&lt;100,"Medium",
F427&lt;150,"Large",
F427&gt;=150,"Very Large"
)</f>
        <v>Very Large</v>
      </c>
      <c r="H427" s="2" t="s">
        <v>33</v>
      </c>
      <c r="I427" s="2">
        <v>52.803733000000001</v>
      </c>
      <c r="J427" s="2">
        <v>23.686928000000002</v>
      </c>
      <c r="K427" s="2" t="str">
        <f t="shared" si="25"/>
        <v>Available</v>
      </c>
      <c r="L427" s="2" t="s">
        <v>10</v>
      </c>
      <c r="M427" s="3">
        <v>45383</v>
      </c>
      <c r="N427" s="3" t="str">
        <f t="shared" si="26"/>
        <v>April</v>
      </c>
      <c r="O427" s="2" t="s">
        <v>6</v>
      </c>
      <c r="P427" t="str">
        <f t="shared" si="27"/>
        <v>OK</v>
      </c>
    </row>
    <row r="428" spans="1:16" x14ac:dyDescent="0.3">
      <c r="A428" s="2">
        <f t="shared" si="24"/>
        <v>427</v>
      </c>
      <c r="B428" s="2" t="s">
        <v>29</v>
      </c>
      <c r="C428" s="2" t="s">
        <v>4</v>
      </c>
      <c r="D428" s="1">
        <v>0.32300000000000001</v>
      </c>
      <c r="E428" s="1" t="str" cm="1">
        <f t="array" ref="E428">_xlfn.IFS(
D428&lt;20,"Light",
D428&lt;50,"Medium",
D428&lt;100,"Heavy",
D428&gt;=100,"Very Heavy")</f>
        <v>Light</v>
      </c>
      <c r="F428" s="2">
        <v>19</v>
      </c>
      <c r="G428" s="2" t="str" cm="1">
        <f t="array" ref="G428">_xlfn.IFS(
F428&lt;50,"Small",
F428&lt;100,"Medium",
F428&lt;150,"Large",
F428&gt;=150,"Very Large"
)</f>
        <v>Small</v>
      </c>
      <c r="H428" s="2" t="s">
        <v>33</v>
      </c>
      <c r="I428" s="2">
        <v>50.041803999999999</v>
      </c>
      <c r="J428" s="2">
        <v>19.951360999999999</v>
      </c>
      <c r="K428" s="2" t="str">
        <f t="shared" si="25"/>
        <v>Available</v>
      </c>
      <c r="L428" s="2" t="s">
        <v>10</v>
      </c>
      <c r="M428" s="3">
        <v>45383</v>
      </c>
      <c r="N428" s="3" t="str">
        <f t="shared" si="26"/>
        <v>April</v>
      </c>
      <c r="O428" s="2" t="s">
        <v>6</v>
      </c>
      <c r="P428" t="str">
        <f t="shared" si="27"/>
        <v>OK</v>
      </c>
    </row>
    <row r="429" spans="1:16" x14ac:dyDescent="0.3">
      <c r="A429" s="2">
        <f t="shared" si="24"/>
        <v>428</v>
      </c>
      <c r="B429" s="2" t="s">
        <v>29</v>
      </c>
      <c r="C429" s="2" t="s">
        <v>7</v>
      </c>
      <c r="D429" s="1">
        <v>0.33700000000000002</v>
      </c>
      <c r="E429" s="1" t="str" cm="1">
        <f t="array" ref="E429">_xlfn.IFS(
D429&lt;20,"Light",
D429&lt;50,"Medium",
D429&lt;100,"Heavy",
D429&gt;=100,"Very Heavy")</f>
        <v>Light</v>
      </c>
      <c r="F429" s="2">
        <v>18</v>
      </c>
      <c r="G429" s="2" t="str" cm="1">
        <f t="array" ref="G429">_xlfn.IFS(
F429&lt;50,"Small",
F429&lt;100,"Medium",
F429&lt;150,"Large",
F429&gt;=150,"Very Large"
)</f>
        <v>Small</v>
      </c>
      <c r="H429" s="2" t="s">
        <v>33</v>
      </c>
      <c r="I429" s="2">
        <v>47.511558000000001</v>
      </c>
      <c r="J429" s="2">
        <v>18.942454000000001</v>
      </c>
      <c r="K429" s="2" t="str">
        <f t="shared" si="25"/>
        <v>Available</v>
      </c>
      <c r="L429" s="2" t="s">
        <v>10</v>
      </c>
      <c r="M429" s="3">
        <v>45383</v>
      </c>
      <c r="N429" s="3" t="str">
        <f t="shared" si="26"/>
        <v>April</v>
      </c>
      <c r="O429" s="2" t="s">
        <v>6</v>
      </c>
      <c r="P429" t="str">
        <f t="shared" si="27"/>
        <v>OK</v>
      </c>
    </row>
    <row r="430" spans="1:16" x14ac:dyDescent="0.3">
      <c r="A430" s="2">
        <f t="shared" si="24"/>
        <v>429</v>
      </c>
      <c r="B430" s="2" t="s">
        <v>30</v>
      </c>
      <c r="C430" s="2" t="s">
        <v>13</v>
      </c>
      <c r="D430" s="1">
        <v>1.1000000000000001</v>
      </c>
      <c r="E430" s="1" t="str" cm="1">
        <f t="array" ref="E430">_xlfn.IFS(
D430&lt;20,"Light",
D430&lt;50,"Medium",
D430&lt;100,"Heavy",
D430&gt;=100,"Very Heavy")</f>
        <v>Light</v>
      </c>
      <c r="F430" s="2">
        <v>22</v>
      </c>
      <c r="G430" s="2" t="str" cm="1">
        <f t="array" ref="G430">_xlfn.IFS(
F430&lt;50,"Small",
F430&lt;100,"Medium",
F430&lt;150,"Large",
F430&gt;=150,"Very Large"
)</f>
        <v>Small</v>
      </c>
      <c r="H430" s="2" t="s">
        <v>32</v>
      </c>
      <c r="I430" s="2">
        <v>48.409754</v>
      </c>
      <c r="J430" s="2">
        <v>18.870477000000001</v>
      </c>
      <c r="K430" s="2" t="str">
        <f t="shared" si="25"/>
        <v>Available</v>
      </c>
      <c r="L430" s="2" t="s">
        <v>10</v>
      </c>
      <c r="M430" s="3">
        <v>45383</v>
      </c>
      <c r="N430" s="3" t="str">
        <f t="shared" si="26"/>
        <v>April</v>
      </c>
      <c r="O430" s="2" t="s">
        <v>14</v>
      </c>
      <c r="P430" t="str">
        <f t="shared" si="27"/>
        <v>OK</v>
      </c>
    </row>
    <row r="431" spans="1:16" x14ac:dyDescent="0.3">
      <c r="A431" s="2">
        <f t="shared" si="24"/>
        <v>430</v>
      </c>
      <c r="B431" s="2" t="s">
        <v>28</v>
      </c>
      <c r="C431" s="2" t="s">
        <v>15</v>
      </c>
      <c r="D431" s="1">
        <v>26</v>
      </c>
      <c r="E431" s="1" t="str" cm="1">
        <f t="array" ref="E431">_xlfn.IFS(
D431&lt;20,"Light",
D431&lt;50,"Medium",
D431&lt;100,"Heavy",
D431&gt;=100,"Very Heavy")</f>
        <v>Medium</v>
      </c>
      <c r="F431" s="2">
        <v>81</v>
      </c>
      <c r="G431" s="2" t="str" cm="1">
        <f t="array" ref="G431">_xlfn.IFS(
F431&lt;50,"Small",
F431&lt;100,"Medium",
F431&lt;150,"Large",
F431&gt;=150,"Very Large"
)</f>
        <v>Medium</v>
      </c>
      <c r="H431" s="2" t="s">
        <v>33</v>
      </c>
      <c r="I431" s="2">
        <v>50.884011999999998</v>
      </c>
      <c r="J431" s="2">
        <v>14.370554</v>
      </c>
      <c r="K431" s="2" t="str">
        <f t="shared" si="25"/>
        <v>Available</v>
      </c>
      <c r="L431" s="2" t="s">
        <v>10</v>
      </c>
      <c r="M431" s="3">
        <v>45383</v>
      </c>
      <c r="N431" s="3" t="str">
        <f t="shared" si="26"/>
        <v>April</v>
      </c>
      <c r="O431" s="2" t="s">
        <v>14</v>
      </c>
      <c r="P431" t="str">
        <f t="shared" si="27"/>
        <v>OK</v>
      </c>
    </row>
    <row r="432" spans="1:16" x14ac:dyDescent="0.3">
      <c r="A432" s="2">
        <f t="shared" si="24"/>
        <v>431</v>
      </c>
      <c r="B432" s="2" t="s">
        <v>29</v>
      </c>
      <c r="C432" s="2" t="s">
        <v>15</v>
      </c>
      <c r="D432" s="1">
        <v>0.28299999999999997</v>
      </c>
      <c r="E432" s="1" t="str" cm="1">
        <f t="array" ref="E432">_xlfn.IFS(
D432&lt;20,"Light",
D432&lt;50,"Medium",
D432&lt;100,"Heavy",
D432&gt;=100,"Very Heavy")</f>
        <v>Light</v>
      </c>
      <c r="F432" s="2">
        <v>22</v>
      </c>
      <c r="G432" s="2" t="str" cm="1">
        <f t="array" ref="G432">_xlfn.IFS(
F432&lt;50,"Small",
F432&lt;100,"Medium",
F432&lt;150,"Large",
F432&gt;=150,"Very Large"
)</f>
        <v>Small</v>
      </c>
      <c r="H432" s="2" t="s">
        <v>33</v>
      </c>
      <c r="I432" s="2">
        <v>49.939191000000001</v>
      </c>
      <c r="J432" s="2">
        <v>14.180256</v>
      </c>
      <c r="K432" s="2" t="str">
        <f t="shared" si="25"/>
        <v>Available</v>
      </c>
      <c r="L432" s="2" t="s">
        <v>10</v>
      </c>
      <c r="M432" s="3">
        <v>45383</v>
      </c>
      <c r="N432" s="3" t="str">
        <f t="shared" si="26"/>
        <v>April</v>
      </c>
      <c r="O432" s="2" t="s">
        <v>14</v>
      </c>
      <c r="P432" t="str">
        <f t="shared" si="27"/>
        <v>OK</v>
      </c>
    </row>
    <row r="433" spans="1:16" x14ac:dyDescent="0.3">
      <c r="A433" s="2">
        <f t="shared" si="24"/>
        <v>432</v>
      </c>
      <c r="B433" s="2" t="s">
        <v>29</v>
      </c>
      <c r="C433" s="2" t="s">
        <v>13</v>
      </c>
      <c r="D433" s="1">
        <v>0.26</v>
      </c>
      <c r="E433" s="1" t="str" cm="1">
        <f t="array" ref="E433">_xlfn.IFS(
D433&lt;20,"Light",
D433&lt;50,"Medium",
D433&lt;100,"Heavy",
D433&gt;=100,"Very Heavy")</f>
        <v>Light</v>
      </c>
      <c r="F433" s="2">
        <v>22</v>
      </c>
      <c r="G433" s="2" t="str" cm="1">
        <f t="array" ref="G433">_xlfn.IFS(
F433&lt;50,"Small",
F433&lt;100,"Medium",
F433&lt;150,"Large",
F433&gt;=150,"Very Large"
)</f>
        <v>Small</v>
      </c>
      <c r="H433" s="2" t="s">
        <v>33</v>
      </c>
      <c r="I433" s="2">
        <v>48.231229999999996</v>
      </c>
      <c r="J433" s="2">
        <v>17.090253000000001</v>
      </c>
      <c r="K433" s="2" t="str">
        <f t="shared" si="25"/>
        <v>Available</v>
      </c>
      <c r="L433" s="2" t="s">
        <v>10</v>
      </c>
      <c r="M433" s="3">
        <v>45383</v>
      </c>
      <c r="N433" s="3" t="str">
        <f t="shared" si="26"/>
        <v>April</v>
      </c>
      <c r="O433" s="2" t="s">
        <v>14</v>
      </c>
      <c r="P433" t="str">
        <f t="shared" si="27"/>
        <v>OK</v>
      </c>
    </row>
    <row r="434" spans="1:16" x14ac:dyDescent="0.3">
      <c r="A434" s="2">
        <f t="shared" si="24"/>
        <v>433</v>
      </c>
      <c r="B434" s="2" t="s">
        <v>30</v>
      </c>
      <c r="C434" s="2" t="s">
        <v>7</v>
      </c>
      <c r="D434" s="1">
        <v>0.6</v>
      </c>
      <c r="E434" s="1" t="str" cm="1">
        <f t="array" ref="E434">_xlfn.IFS(
D434&lt;20,"Light",
D434&lt;50,"Medium",
D434&lt;100,"Heavy",
D434&gt;=100,"Very Heavy")</f>
        <v>Light</v>
      </c>
      <c r="F434" s="2">
        <v>20</v>
      </c>
      <c r="G434" s="2" t="str" cm="1">
        <f t="array" ref="G434">_xlfn.IFS(
F434&lt;50,"Small",
F434&lt;100,"Medium",
F434&lt;150,"Large",
F434&gt;=150,"Very Large"
)</f>
        <v>Small</v>
      </c>
      <c r="H434" s="2" t="s">
        <v>33</v>
      </c>
      <c r="I434" s="2">
        <v>48.504424999999998</v>
      </c>
      <c r="J434" s="2">
        <v>20.548743999999999</v>
      </c>
      <c r="K434" s="2" t="str">
        <f t="shared" si="25"/>
        <v>Available</v>
      </c>
      <c r="L434" s="2" t="s">
        <v>10</v>
      </c>
      <c r="M434" s="3">
        <v>45384</v>
      </c>
      <c r="N434" s="3" t="str">
        <f t="shared" si="26"/>
        <v>April</v>
      </c>
      <c r="O434" s="2" t="s">
        <v>6</v>
      </c>
      <c r="P434" t="str">
        <f t="shared" si="27"/>
        <v>OK</v>
      </c>
    </row>
    <row r="435" spans="1:16" x14ac:dyDescent="0.3">
      <c r="A435" s="2">
        <f t="shared" si="24"/>
        <v>434</v>
      </c>
      <c r="B435" s="2" t="s">
        <v>28</v>
      </c>
      <c r="C435" s="2" t="s">
        <v>4</v>
      </c>
      <c r="D435" s="1">
        <v>22</v>
      </c>
      <c r="E435" s="1" t="str" cm="1">
        <f t="array" ref="E435">_xlfn.IFS(
D435&lt;20,"Light",
D435&lt;50,"Medium",
D435&lt;100,"Heavy",
D435&gt;=100,"Very Heavy")</f>
        <v>Medium</v>
      </c>
      <c r="F435" s="2">
        <v>101</v>
      </c>
      <c r="G435" s="2" t="str" cm="1">
        <f t="array" ref="G435">_xlfn.IFS(
F435&lt;50,"Small",
F435&lt;100,"Medium",
F435&lt;150,"Large",
F435&gt;=150,"Very Large"
)</f>
        <v>Large</v>
      </c>
      <c r="H435" s="2" t="s">
        <v>32</v>
      </c>
      <c r="I435" s="2">
        <v>52.824598999999999</v>
      </c>
      <c r="J435" s="2">
        <v>23.816842000000001</v>
      </c>
      <c r="K435" s="2" t="str">
        <f t="shared" si="25"/>
        <v>Available</v>
      </c>
      <c r="L435" s="2" t="s">
        <v>10</v>
      </c>
      <c r="M435" s="3">
        <v>45384</v>
      </c>
      <c r="N435" s="3" t="str">
        <f t="shared" si="26"/>
        <v>April</v>
      </c>
      <c r="O435" s="2" t="s">
        <v>6</v>
      </c>
      <c r="P435" t="str">
        <f t="shared" si="27"/>
        <v>OK</v>
      </c>
    </row>
    <row r="436" spans="1:16" x14ac:dyDescent="0.3">
      <c r="A436" s="2">
        <f t="shared" si="24"/>
        <v>435</v>
      </c>
      <c r="B436" s="2" t="s">
        <v>29</v>
      </c>
      <c r="C436" s="2" t="s">
        <v>4</v>
      </c>
      <c r="D436" s="1">
        <v>0.29399999999999998</v>
      </c>
      <c r="E436" s="1" t="str" cm="1">
        <f t="array" ref="E436">_xlfn.IFS(
D436&lt;20,"Light",
D436&lt;50,"Medium",
D436&lt;100,"Heavy",
D436&gt;=100,"Very Heavy")</f>
        <v>Light</v>
      </c>
      <c r="F436" s="2">
        <v>19</v>
      </c>
      <c r="G436" s="2" t="str" cm="1">
        <f t="array" ref="G436">_xlfn.IFS(
F436&lt;50,"Small",
F436&lt;100,"Medium",
F436&lt;150,"Large",
F436&gt;=150,"Very Large"
)</f>
        <v>Small</v>
      </c>
      <c r="H436" s="2" t="s">
        <v>32</v>
      </c>
      <c r="I436" s="2">
        <v>50.041131</v>
      </c>
      <c r="J436" s="2">
        <v>19.949542999999998</v>
      </c>
      <c r="K436" s="2" t="str">
        <f t="shared" si="25"/>
        <v>Available</v>
      </c>
      <c r="L436" s="2" t="s">
        <v>10</v>
      </c>
      <c r="M436" s="3">
        <v>45384</v>
      </c>
      <c r="N436" s="3" t="str">
        <f t="shared" si="26"/>
        <v>April</v>
      </c>
      <c r="O436" s="2" t="s">
        <v>6</v>
      </c>
      <c r="P436" t="str">
        <f t="shared" si="27"/>
        <v>OK</v>
      </c>
    </row>
    <row r="437" spans="1:16" x14ac:dyDescent="0.3">
      <c r="A437" s="2">
        <f t="shared" si="24"/>
        <v>436</v>
      </c>
      <c r="B437" s="2" t="s">
        <v>29</v>
      </c>
      <c r="C437" s="2" t="s">
        <v>4</v>
      </c>
      <c r="D437" s="1">
        <v>0.297366504854368</v>
      </c>
      <c r="E437" s="1" t="str" cm="1">
        <f t="array" ref="E437">_xlfn.IFS(
D437&lt;20,"Light",
D437&lt;50,"Medium",
D437&lt;100,"Heavy",
D437&gt;=100,"Very Heavy")</f>
        <v>Light</v>
      </c>
      <c r="F437" s="2">
        <v>20.418848167539199</v>
      </c>
      <c r="G437" s="2" t="str" cm="1">
        <f t="array" ref="G437">_xlfn.IFS(
F437&lt;50,"Small",
F437&lt;100,"Medium",
F437&lt;150,"Large",
F437&gt;=150,"Very Large"
)</f>
        <v>Small</v>
      </c>
      <c r="H437" s="2" t="s">
        <v>32</v>
      </c>
      <c r="I437" s="2">
        <v>50.041552000000003</v>
      </c>
      <c r="J437" s="2">
        <v>19.949984000000001</v>
      </c>
      <c r="K437" s="2" t="str">
        <f t="shared" si="25"/>
        <v>Available</v>
      </c>
      <c r="L437" s="2" t="s">
        <v>10</v>
      </c>
      <c r="M437" s="3">
        <v>45384</v>
      </c>
      <c r="N437" s="3" t="str">
        <f t="shared" si="26"/>
        <v>April</v>
      </c>
      <c r="O437" s="2" t="s">
        <v>6</v>
      </c>
      <c r="P437" t="str">
        <f t="shared" si="27"/>
        <v>OK</v>
      </c>
    </row>
    <row r="438" spans="1:16" x14ac:dyDescent="0.3">
      <c r="A438" s="2">
        <f t="shared" si="24"/>
        <v>437</v>
      </c>
      <c r="B438" s="2" t="s">
        <v>29</v>
      </c>
      <c r="C438" s="2" t="s">
        <v>4</v>
      </c>
      <c r="D438" s="1">
        <v>0.312</v>
      </c>
      <c r="E438" s="1" t="str" cm="1">
        <f t="array" ref="E438">_xlfn.IFS(
D438&lt;20,"Light",
D438&lt;50,"Medium",
D438&lt;100,"Heavy",
D438&gt;=100,"Very Heavy")</f>
        <v>Light</v>
      </c>
      <c r="F438" s="2">
        <v>23</v>
      </c>
      <c r="G438" s="2" t="str" cm="1">
        <f t="array" ref="G438">_xlfn.IFS(
F438&lt;50,"Small",
F438&lt;100,"Medium",
F438&lt;150,"Large",
F438&gt;=150,"Very Large"
)</f>
        <v>Small</v>
      </c>
      <c r="H438" s="2" t="s">
        <v>33</v>
      </c>
      <c r="I438" s="2">
        <v>50.041944999999998</v>
      </c>
      <c r="J438" s="2">
        <v>19.94932</v>
      </c>
      <c r="K438" s="2" t="str">
        <f t="shared" si="25"/>
        <v>Available</v>
      </c>
      <c r="L438" s="2" t="s">
        <v>16</v>
      </c>
      <c r="M438" s="3">
        <v>45384</v>
      </c>
      <c r="N438" s="3" t="str">
        <f t="shared" si="26"/>
        <v>April</v>
      </c>
      <c r="O438" s="2" t="s">
        <v>6</v>
      </c>
      <c r="P438" t="str">
        <f t="shared" si="27"/>
        <v>OK</v>
      </c>
    </row>
    <row r="439" spans="1:16" x14ac:dyDescent="0.3">
      <c r="A439" s="2">
        <f t="shared" si="24"/>
        <v>438</v>
      </c>
      <c r="B439" s="2" t="s">
        <v>29</v>
      </c>
      <c r="C439" s="2" t="s">
        <v>4</v>
      </c>
      <c r="D439" s="1">
        <v>0.28999999999999998</v>
      </c>
      <c r="E439" s="1" t="str" cm="1">
        <f t="array" ref="E439">_xlfn.IFS(
D439&lt;20,"Light",
D439&lt;50,"Medium",
D439&lt;100,"Heavy",
D439&gt;=100,"Very Heavy")</f>
        <v>Light</v>
      </c>
      <c r="F439" s="2">
        <v>24</v>
      </c>
      <c r="G439" s="2" t="str" cm="1">
        <f t="array" ref="G439">_xlfn.IFS(
F439&lt;50,"Small",
F439&lt;100,"Medium",
F439&lt;150,"Large",
F439&gt;=150,"Very Large"
)</f>
        <v>Small</v>
      </c>
      <c r="H439" s="2" t="s">
        <v>32</v>
      </c>
      <c r="I439" s="2">
        <v>50.041924999999999</v>
      </c>
      <c r="J439" s="2">
        <v>19.950894000000002</v>
      </c>
      <c r="K439" s="2" t="str">
        <f t="shared" si="25"/>
        <v>Available</v>
      </c>
      <c r="L439" s="2" t="s">
        <v>10</v>
      </c>
      <c r="M439" s="3">
        <v>45384</v>
      </c>
      <c r="N439" s="3" t="str">
        <f t="shared" si="26"/>
        <v>April</v>
      </c>
      <c r="O439" s="2" t="s">
        <v>6</v>
      </c>
      <c r="P439" t="str">
        <f t="shared" si="27"/>
        <v>OK</v>
      </c>
    </row>
    <row r="440" spans="1:16" x14ac:dyDescent="0.3">
      <c r="A440" s="2">
        <f t="shared" si="24"/>
        <v>439</v>
      </c>
      <c r="B440" s="2" t="s">
        <v>29</v>
      </c>
      <c r="C440" s="2" t="s">
        <v>7</v>
      </c>
      <c r="D440" s="1">
        <v>0.25800000000000001</v>
      </c>
      <c r="E440" s="1" t="str" cm="1">
        <f t="array" ref="E440">_xlfn.IFS(
D440&lt;20,"Light",
D440&lt;50,"Medium",
D440&lt;100,"Heavy",
D440&gt;=100,"Very Heavy")</f>
        <v>Light</v>
      </c>
      <c r="F440" s="2">
        <v>21</v>
      </c>
      <c r="G440" s="2" t="str" cm="1">
        <f t="array" ref="G440">_xlfn.IFS(
F440&lt;50,"Small",
F440&lt;100,"Medium",
F440&lt;150,"Large",
F440&gt;=150,"Very Large"
)</f>
        <v>Small</v>
      </c>
      <c r="H440" s="2" t="s">
        <v>33</v>
      </c>
      <c r="I440" s="2">
        <v>47.511581999999997</v>
      </c>
      <c r="J440" s="2">
        <v>18.942340999999999</v>
      </c>
      <c r="K440" s="2" t="str">
        <f t="shared" si="25"/>
        <v>Available</v>
      </c>
      <c r="L440" s="2" t="s">
        <v>10</v>
      </c>
      <c r="M440" s="3">
        <v>45384</v>
      </c>
      <c r="N440" s="3" t="str">
        <f t="shared" si="26"/>
        <v>April</v>
      </c>
      <c r="O440" s="2" t="s">
        <v>6</v>
      </c>
      <c r="P440" t="str">
        <f t="shared" si="27"/>
        <v>OK</v>
      </c>
    </row>
    <row r="441" spans="1:16" x14ac:dyDescent="0.3">
      <c r="A441" s="2">
        <f t="shared" si="24"/>
        <v>440</v>
      </c>
      <c r="B441" s="2" t="s">
        <v>30</v>
      </c>
      <c r="C441" s="2" t="s">
        <v>17</v>
      </c>
      <c r="D441" s="1">
        <v>0.8</v>
      </c>
      <c r="E441" s="1" t="str" cm="1">
        <f t="array" ref="E441">_xlfn.IFS(
D441&lt;20,"Light",
D441&lt;50,"Medium",
D441&lt;100,"Heavy",
D441&gt;=100,"Very Heavy")</f>
        <v>Light</v>
      </c>
      <c r="F441" s="2">
        <v>15</v>
      </c>
      <c r="G441" s="2" t="str" cm="1">
        <f t="array" ref="G441">_xlfn.IFS(
F441&lt;50,"Small",
F441&lt;100,"Medium",
F441&lt;150,"Large",
F441&gt;=150,"Very Large"
)</f>
        <v>Small</v>
      </c>
      <c r="H441" s="2" t="s">
        <v>33</v>
      </c>
      <c r="I441" s="2">
        <v>47.319091</v>
      </c>
      <c r="J441" s="2">
        <v>11.188058</v>
      </c>
      <c r="K441" s="2" t="str">
        <f t="shared" si="25"/>
        <v>Available</v>
      </c>
      <c r="L441" s="2" t="s">
        <v>10</v>
      </c>
      <c r="M441" s="3">
        <v>45384</v>
      </c>
      <c r="N441" s="3" t="str">
        <f t="shared" si="26"/>
        <v>April</v>
      </c>
      <c r="O441" s="2" t="s">
        <v>12</v>
      </c>
      <c r="P441" t="str">
        <f t="shared" si="27"/>
        <v>OK</v>
      </c>
    </row>
    <row r="442" spans="1:16" x14ac:dyDescent="0.3">
      <c r="A442" s="2">
        <f t="shared" si="24"/>
        <v>441</v>
      </c>
      <c r="B442" s="2" t="s">
        <v>30</v>
      </c>
      <c r="C442" s="2" t="s">
        <v>11</v>
      </c>
      <c r="D442" s="1">
        <v>0.8</v>
      </c>
      <c r="E442" s="1" t="str" cm="1">
        <f t="array" ref="E442">_xlfn.IFS(
D442&lt;20,"Light",
D442&lt;50,"Medium",
D442&lt;100,"Heavy",
D442&gt;=100,"Very Heavy")</f>
        <v>Light</v>
      </c>
      <c r="F442" s="2">
        <v>18</v>
      </c>
      <c r="G442" s="2" t="str" cm="1">
        <f t="array" ref="G442">_xlfn.IFS(
F442&lt;50,"Small",
F442&lt;100,"Medium",
F442&lt;150,"Large",
F442&gt;=150,"Very Large"
)</f>
        <v>Small</v>
      </c>
      <c r="H442" s="2" t="s">
        <v>32</v>
      </c>
      <c r="I442" s="2">
        <v>48.161892000000002</v>
      </c>
      <c r="J442" s="2">
        <v>11.493888</v>
      </c>
      <c r="K442" s="2" t="str">
        <f t="shared" si="25"/>
        <v>Available</v>
      </c>
      <c r="L442" s="2" t="s">
        <v>10</v>
      </c>
      <c r="M442" s="3">
        <v>45384</v>
      </c>
      <c r="N442" s="3" t="str">
        <f t="shared" si="26"/>
        <v>April</v>
      </c>
      <c r="O442" s="2" t="s">
        <v>12</v>
      </c>
      <c r="P442" t="str">
        <f t="shared" si="27"/>
        <v>OK</v>
      </c>
    </row>
    <row r="443" spans="1:16" x14ac:dyDescent="0.3">
      <c r="A443" s="2">
        <f t="shared" si="24"/>
        <v>442</v>
      </c>
      <c r="B443" s="2" t="s">
        <v>30</v>
      </c>
      <c r="C443" s="2" t="s">
        <v>11</v>
      </c>
      <c r="D443" s="1">
        <v>0.6</v>
      </c>
      <c r="E443" s="1" t="str" cm="1">
        <f t="array" ref="E443">_xlfn.IFS(
D443&lt;20,"Light",
D443&lt;50,"Medium",
D443&lt;100,"Heavy",
D443&gt;=100,"Very Heavy")</f>
        <v>Light</v>
      </c>
      <c r="F443" s="2">
        <v>15</v>
      </c>
      <c r="G443" s="2" t="str" cm="1">
        <f t="array" ref="G443">_xlfn.IFS(
F443&lt;50,"Small",
F443&lt;100,"Medium",
F443&lt;150,"Large",
F443&gt;=150,"Very Large"
)</f>
        <v>Small</v>
      </c>
      <c r="H443" s="2" t="s">
        <v>33</v>
      </c>
      <c r="I443" s="2">
        <v>48.161217999999998</v>
      </c>
      <c r="J443" s="2">
        <v>11.494676999999999</v>
      </c>
      <c r="K443" s="2" t="str">
        <f t="shared" si="25"/>
        <v>Available</v>
      </c>
      <c r="L443" s="2" t="s">
        <v>10</v>
      </c>
      <c r="M443" s="3">
        <v>45384</v>
      </c>
      <c r="N443" s="3" t="str">
        <f t="shared" si="26"/>
        <v>April</v>
      </c>
      <c r="O443" s="2" t="s">
        <v>12</v>
      </c>
      <c r="P443" t="str">
        <f t="shared" si="27"/>
        <v>OK</v>
      </c>
    </row>
    <row r="444" spans="1:16" x14ac:dyDescent="0.3">
      <c r="A444" s="2">
        <f t="shared" si="24"/>
        <v>443</v>
      </c>
      <c r="B444" s="2" t="s">
        <v>30</v>
      </c>
      <c r="C444" s="2" t="s">
        <v>11</v>
      </c>
      <c r="D444" s="1">
        <v>0.8</v>
      </c>
      <c r="E444" s="1" t="str" cm="1">
        <f t="array" ref="E444">_xlfn.IFS(
D444&lt;20,"Light",
D444&lt;50,"Medium",
D444&lt;100,"Heavy",
D444&gt;=100,"Very Heavy")</f>
        <v>Light</v>
      </c>
      <c r="F444" s="2">
        <v>23</v>
      </c>
      <c r="G444" s="2" t="str" cm="1">
        <f t="array" ref="G444">_xlfn.IFS(
F444&lt;50,"Small",
F444&lt;100,"Medium",
F444&lt;150,"Large",
F444&gt;=150,"Very Large"
)</f>
        <v>Small</v>
      </c>
      <c r="H444" s="2" t="s">
        <v>32</v>
      </c>
      <c r="I444" s="2">
        <v>48.161451999999997</v>
      </c>
      <c r="J444" s="2">
        <v>11.495239</v>
      </c>
      <c r="K444" s="2" t="str">
        <f t="shared" si="25"/>
        <v>Available</v>
      </c>
      <c r="L444" s="2" t="s">
        <v>10</v>
      </c>
      <c r="M444" s="3">
        <v>45384</v>
      </c>
      <c r="N444" s="3" t="str">
        <f t="shared" si="26"/>
        <v>April</v>
      </c>
      <c r="O444" s="2" t="s">
        <v>12</v>
      </c>
      <c r="P444" t="str">
        <f t="shared" si="27"/>
        <v>OK</v>
      </c>
    </row>
    <row r="445" spans="1:16" x14ac:dyDescent="0.3">
      <c r="A445" s="2">
        <f t="shared" si="24"/>
        <v>444</v>
      </c>
      <c r="B445" s="2" t="s">
        <v>30</v>
      </c>
      <c r="C445" s="2" t="s">
        <v>11</v>
      </c>
      <c r="D445" s="1">
        <v>0.6</v>
      </c>
      <c r="E445" s="1" t="str" cm="1">
        <f t="array" ref="E445">_xlfn.IFS(
D445&lt;20,"Light",
D445&lt;50,"Medium",
D445&lt;100,"Heavy",
D445&gt;=100,"Very Heavy")</f>
        <v>Light</v>
      </c>
      <c r="F445" s="2">
        <v>16</v>
      </c>
      <c r="G445" s="2" t="str" cm="1">
        <f t="array" ref="G445">_xlfn.IFS(
F445&lt;50,"Small",
F445&lt;100,"Medium",
F445&lt;150,"Large",
F445&gt;=150,"Very Large"
)</f>
        <v>Small</v>
      </c>
      <c r="H445" s="2" t="s">
        <v>33</v>
      </c>
      <c r="I445" s="2">
        <v>48.160915000000003</v>
      </c>
      <c r="J445" s="2">
        <v>11.489927</v>
      </c>
      <c r="K445" s="2" t="str">
        <f t="shared" si="25"/>
        <v>Available</v>
      </c>
      <c r="L445" s="2" t="s">
        <v>10</v>
      </c>
      <c r="M445" s="3">
        <v>45384</v>
      </c>
      <c r="N445" s="3" t="str">
        <f t="shared" si="26"/>
        <v>April</v>
      </c>
      <c r="O445" s="2" t="s">
        <v>12</v>
      </c>
      <c r="P445" t="str">
        <f t="shared" si="27"/>
        <v>OK</v>
      </c>
    </row>
    <row r="446" spans="1:16" x14ac:dyDescent="0.3">
      <c r="A446" s="2">
        <f t="shared" si="24"/>
        <v>445</v>
      </c>
      <c r="B446" s="2" t="s">
        <v>30</v>
      </c>
      <c r="C446" s="2" t="s">
        <v>11</v>
      </c>
      <c r="D446" s="1">
        <v>0.7</v>
      </c>
      <c r="E446" s="1" t="str" cm="1">
        <f t="array" ref="E446">_xlfn.IFS(
D446&lt;20,"Light",
D446&lt;50,"Medium",
D446&lt;100,"Heavy",
D446&gt;=100,"Very Heavy")</f>
        <v>Light</v>
      </c>
      <c r="F446" s="2">
        <v>19</v>
      </c>
      <c r="G446" s="2" t="str" cm="1">
        <f t="array" ref="G446">_xlfn.IFS(
F446&lt;50,"Small",
F446&lt;100,"Medium",
F446&lt;150,"Large",
F446&gt;=150,"Very Large"
)</f>
        <v>Small</v>
      </c>
      <c r="H446" s="2" t="s">
        <v>32</v>
      </c>
      <c r="I446" s="2">
        <v>48.162168999999999</v>
      </c>
      <c r="J446" s="2">
        <v>11.495473</v>
      </c>
      <c r="K446" s="2" t="str">
        <f t="shared" si="25"/>
        <v>Available</v>
      </c>
      <c r="L446" s="2" t="s">
        <v>10</v>
      </c>
      <c r="M446" s="3">
        <v>45384</v>
      </c>
      <c r="N446" s="3" t="str">
        <f t="shared" si="26"/>
        <v>April</v>
      </c>
      <c r="O446" s="2" t="s">
        <v>12</v>
      </c>
      <c r="P446" t="str">
        <f t="shared" si="27"/>
        <v>OK</v>
      </c>
    </row>
    <row r="447" spans="1:16" x14ac:dyDescent="0.3">
      <c r="A447" s="2">
        <f t="shared" si="24"/>
        <v>446</v>
      </c>
      <c r="B447" s="2" t="s">
        <v>30</v>
      </c>
      <c r="C447" s="2" t="s">
        <v>11</v>
      </c>
      <c r="D447" s="1">
        <v>1</v>
      </c>
      <c r="E447" s="1" t="str" cm="1">
        <f t="array" ref="E447">_xlfn.IFS(
D447&lt;20,"Light",
D447&lt;50,"Medium",
D447&lt;100,"Heavy",
D447&gt;=100,"Very Heavy")</f>
        <v>Light</v>
      </c>
      <c r="F447" s="2">
        <v>25</v>
      </c>
      <c r="G447" s="2" t="str" cm="1">
        <f t="array" ref="G447">_xlfn.IFS(
F447&lt;50,"Small",
F447&lt;100,"Medium",
F447&lt;150,"Large",
F447&gt;=150,"Very Large"
)</f>
        <v>Small</v>
      </c>
      <c r="H447" s="2" t="s">
        <v>33</v>
      </c>
      <c r="I447" s="2">
        <v>49.546289999999999</v>
      </c>
      <c r="J447" s="2">
        <v>11.085729000000001</v>
      </c>
      <c r="K447" s="2" t="str">
        <f t="shared" si="25"/>
        <v>Available</v>
      </c>
      <c r="L447" s="2" t="s">
        <v>10</v>
      </c>
      <c r="M447" s="3">
        <v>45384</v>
      </c>
      <c r="N447" s="3" t="str">
        <f t="shared" si="26"/>
        <v>April</v>
      </c>
      <c r="O447" s="2" t="s">
        <v>12</v>
      </c>
      <c r="P447" t="str">
        <f t="shared" si="27"/>
        <v>OK</v>
      </c>
    </row>
    <row r="448" spans="1:16" x14ac:dyDescent="0.3">
      <c r="A448" s="2">
        <f t="shared" si="24"/>
        <v>447</v>
      </c>
      <c r="B448" s="2" t="s">
        <v>30</v>
      </c>
      <c r="C448" s="2" t="s">
        <v>11</v>
      </c>
      <c r="D448" s="1">
        <v>1.1000000000000001</v>
      </c>
      <c r="E448" s="1" t="str" cm="1">
        <f t="array" ref="E448">_xlfn.IFS(
D448&lt;20,"Light",
D448&lt;50,"Medium",
D448&lt;100,"Heavy",
D448&gt;=100,"Very Heavy")</f>
        <v>Light</v>
      </c>
      <c r="F448" s="2">
        <v>23</v>
      </c>
      <c r="G448" s="2" t="str" cm="1">
        <f t="array" ref="G448">_xlfn.IFS(
F448&lt;50,"Small",
F448&lt;100,"Medium",
F448&lt;150,"Large",
F448&gt;=150,"Very Large"
)</f>
        <v>Small</v>
      </c>
      <c r="H448" s="2" t="s">
        <v>32</v>
      </c>
      <c r="I448" s="2">
        <v>49.559558000000003</v>
      </c>
      <c r="J448" s="2">
        <v>11.081149999999999</v>
      </c>
      <c r="K448" s="2" t="str">
        <f t="shared" si="25"/>
        <v>Available</v>
      </c>
      <c r="L448" s="2" t="s">
        <v>10</v>
      </c>
      <c r="M448" s="3">
        <v>45384</v>
      </c>
      <c r="N448" s="3" t="str">
        <f t="shared" si="26"/>
        <v>April</v>
      </c>
      <c r="O448" s="2" t="s">
        <v>12</v>
      </c>
      <c r="P448" t="str">
        <f t="shared" si="27"/>
        <v>OK</v>
      </c>
    </row>
    <row r="449" spans="1:16" x14ac:dyDescent="0.3">
      <c r="A449" s="2">
        <f t="shared" si="24"/>
        <v>448</v>
      </c>
      <c r="B449" s="2" t="s">
        <v>29</v>
      </c>
      <c r="C449" s="2" t="s">
        <v>17</v>
      </c>
      <c r="D449" s="1">
        <v>0.27300000000000002</v>
      </c>
      <c r="E449" s="1" t="str" cm="1">
        <f t="array" ref="E449">_xlfn.IFS(
D449&lt;20,"Light",
D449&lt;50,"Medium",
D449&lt;100,"Heavy",
D449&gt;=100,"Very Heavy")</f>
        <v>Light</v>
      </c>
      <c r="F449" s="2">
        <v>19</v>
      </c>
      <c r="G449" s="2" t="str" cm="1">
        <f t="array" ref="G449">_xlfn.IFS(
F449&lt;50,"Small",
F449&lt;100,"Medium",
F449&lt;150,"Large",
F449&gt;=150,"Very Large"
)</f>
        <v>Small</v>
      </c>
      <c r="H449" s="2" t="s">
        <v>33</v>
      </c>
      <c r="I449" s="2">
        <v>47.781613</v>
      </c>
      <c r="J449" s="2">
        <v>14.385153000000001</v>
      </c>
      <c r="K449" s="2" t="str">
        <f t="shared" si="25"/>
        <v>Available</v>
      </c>
      <c r="L449" s="2" t="s">
        <v>10</v>
      </c>
      <c r="M449" s="3">
        <v>45384</v>
      </c>
      <c r="N449" s="3" t="str">
        <f t="shared" si="26"/>
        <v>April</v>
      </c>
      <c r="O449" s="2" t="s">
        <v>12</v>
      </c>
      <c r="P449" t="str">
        <f t="shared" si="27"/>
        <v>OK</v>
      </c>
    </row>
    <row r="450" spans="1:16" x14ac:dyDescent="0.3">
      <c r="A450" s="2">
        <f t="shared" si="24"/>
        <v>449</v>
      </c>
      <c r="B450" s="2" t="s">
        <v>29</v>
      </c>
      <c r="C450" s="2" t="s">
        <v>17</v>
      </c>
      <c r="D450" s="1">
        <v>0.33</v>
      </c>
      <c r="E450" s="1" t="str" cm="1">
        <f t="array" ref="E450">_xlfn.IFS(
D450&lt;20,"Light",
D450&lt;50,"Medium",
D450&lt;100,"Heavy",
D450&gt;=100,"Very Heavy")</f>
        <v>Light</v>
      </c>
      <c r="F450" s="2">
        <v>18</v>
      </c>
      <c r="G450" s="2" t="str" cm="1">
        <f t="array" ref="G450">_xlfn.IFS(
F450&lt;50,"Small",
F450&lt;100,"Medium",
F450&lt;150,"Large",
F450&gt;=150,"Very Large"
)</f>
        <v>Small</v>
      </c>
      <c r="H450" s="2" t="s">
        <v>33</v>
      </c>
      <c r="I450" s="2">
        <v>47.781637000000003</v>
      </c>
      <c r="J450" s="2">
        <v>14.385382999999999</v>
      </c>
      <c r="K450" s="2" t="str">
        <f t="shared" si="25"/>
        <v>Available</v>
      </c>
      <c r="L450" s="2" t="s">
        <v>10</v>
      </c>
      <c r="M450" s="3">
        <v>45384</v>
      </c>
      <c r="N450" s="3" t="str">
        <f t="shared" si="26"/>
        <v>April</v>
      </c>
      <c r="O450" s="2" t="s">
        <v>12</v>
      </c>
      <c r="P450" t="str">
        <f t="shared" si="27"/>
        <v>OK</v>
      </c>
    </row>
    <row r="451" spans="1:16" x14ac:dyDescent="0.3">
      <c r="A451" s="2">
        <f t="shared" ref="A451:A514" si="28">ROW()-1</f>
        <v>450</v>
      </c>
      <c r="B451" s="2" t="s">
        <v>29</v>
      </c>
      <c r="C451" s="2" t="s">
        <v>17</v>
      </c>
      <c r="D451" s="1">
        <v>0.26200000000000001</v>
      </c>
      <c r="E451" s="1" t="str" cm="1">
        <f t="array" ref="E451">_xlfn.IFS(
D451&lt;20,"Light",
D451&lt;50,"Medium",
D451&lt;100,"Heavy",
D451&gt;=100,"Very Heavy")</f>
        <v>Light</v>
      </c>
      <c r="F451" s="2">
        <v>18</v>
      </c>
      <c r="G451" s="2" t="str" cm="1">
        <f t="array" ref="G451">_xlfn.IFS(
F451&lt;50,"Small",
F451&lt;100,"Medium",
F451&lt;150,"Large",
F451&gt;=150,"Very Large"
)</f>
        <v>Small</v>
      </c>
      <c r="H451" s="2" t="s">
        <v>33</v>
      </c>
      <c r="I451" s="2">
        <v>47.781838</v>
      </c>
      <c r="J451" s="2">
        <v>14.382937999999999</v>
      </c>
      <c r="K451" s="2" t="str">
        <f t="shared" ref="K451:K514" si="29">IF(OR(I451="",J451=""),"Missing Location","Available")</f>
        <v>Available</v>
      </c>
      <c r="L451" s="2" t="s">
        <v>10</v>
      </c>
      <c r="M451" s="3">
        <v>45384</v>
      </c>
      <c r="N451" s="3" t="str">
        <f t="shared" ref="N451:N514" si="30">TEXT(M451,"mmmm")</f>
        <v>April</v>
      </c>
      <c r="O451" s="2" t="s">
        <v>12</v>
      </c>
      <c r="P451" t="str">
        <f t="shared" ref="P451:P514" si="31">IF(OR(B451="",C451="",D451="",E451="",J451=""),"Needs Review","OK")</f>
        <v>OK</v>
      </c>
    </row>
    <row r="452" spans="1:16" x14ac:dyDescent="0.3">
      <c r="A452" s="2">
        <f t="shared" si="28"/>
        <v>451</v>
      </c>
      <c r="B452" s="2" t="s">
        <v>29</v>
      </c>
      <c r="C452" s="2" t="s">
        <v>17</v>
      </c>
      <c r="D452" s="1">
        <v>0.31</v>
      </c>
      <c r="E452" s="1" t="str" cm="1">
        <f t="array" ref="E452">_xlfn.IFS(
D452&lt;20,"Light",
D452&lt;50,"Medium",
D452&lt;100,"Heavy",
D452&gt;=100,"Very Heavy")</f>
        <v>Light</v>
      </c>
      <c r="F452" s="2">
        <v>19</v>
      </c>
      <c r="G452" s="2" t="str" cm="1">
        <f t="array" ref="G452">_xlfn.IFS(
F452&lt;50,"Small",
F452&lt;100,"Medium",
F452&lt;150,"Large",
F452&gt;=150,"Very Large"
)</f>
        <v>Small</v>
      </c>
      <c r="H452" s="2" t="s">
        <v>33</v>
      </c>
      <c r="I452" s="2">
        <v>47.780925000000003</v>
      </c>
      <c r="J452" s="2">
        <v>14.383694999999999</v>
      </c>
      <c r="K452" s="2" t="str">
        <f t="shared" si="29"/>
        <v>Available</v>
      </c>
      <c r="L452" s="2" t="s">
        <v>10</v>
      </c>
      <c r="M452" s="3">
        <v>45384</v>
      </c>
      <c r="N452" s="3" t="str">
        <f t="shared" si="30"/>
        <v>April</v>
      </c>
      <c r="O452" s="2" t="s">
        <v>12</v>
      </c>
      <c r="P452" t="str">
        <f t="shared" si="31"/>
        <v>OK</v>
      </c>
    </row>
    <row r="453" spans="1:16" x14ac:dyDescent="0.3">
      <c r="A453" s="2">
        <f t="shared" si="28"/>
        <v>452</v>
      </c>
      <c r="B453" s="2" t="s">
        <v>29</v>
      </c>
      <c r="C453" s="2" t="s">
        <v>17</v>
      </c>
      <c r="D453" s="1">
        <v>0.33400000000000002</v>
      </c>
      <c r="E453" s="1" t="str" cm="1">
        <f t="array" ref="E453">_xlfn.IFS(
D453&lt;20,"Light",
D453&lt;50,"Medium",
D453&lt;100,"Heavy",
D453&gt;=100,"Very Heavy")</f>
        <v>Light</v>
      </c>
      <c r="F453" s="2">
        <v>21</v>
      </c>
      <c r="G453" s="2" t="str" cm="1">
        <f t="array" ref="G453">_xlfn.IFS(
F453&lt;50,"Small",
F453&lt;100,"Medium",
F453&lt;150,"Large",
F453&gt;=150,"Very Large"
)</f>
        <v>Small</v>
      </c>
      <c r="H453" s="2" t="s">
        <v>33</v>
      </c>
      <c r="I453" s="2">
        <v>47.781449000000002</v>
      </c>
      <c r="J453" s="2">
        <v>14.383421</v>
      </c>
      <c r="K453" s="2" t="str">
        <f t="shared" si="29"/>
        <v>Available</v>
      </c>
      <c r="L453" s="2" t="s">
        <v>10</v>
      </c>
      <c r="M453" s="3">
        <v>45384</v>
      </c>
      <c r="N453" s="3" t="str">
        <f t="shared" si="30"/>
        <v>April</v>
      </c>
      <c r="O453" s="2" t="s">
        <v>12</v>
      </c>
      <c r="P453" t="str">
        <f t="shared" si="31"/>
        <v>OK</v>
      </c>
    </row>
    <row r="454" spans="1:16" x14ac:dyDescent="0.3">
      <c r="A454" s="2">
        <f t="shared" si="28"/>
        <v>453</v>
      </c>
      <c r="B454" s="2" t="s">
        <v>29</v>
      </c>
      <c r="C454" s="2" t="s">
        <v>17</v>
      </c>
      <c r="D454" s="1">
        <v>0.27</v>
      </c>
      <c r="E454" s="1" t="str" cm="1">
        <f t="array" ref="E454">_xlfn.IFS(
D454&lt;20,"Light",
D454&lt;50,"Medium",
D454&lt;100,"Heavy",
D454&gt;=100,"Very Heavy")</f>
        <v>Light</v>
      </c>
      <c r="F454" s="2">
        <v>20</v>
      </c>
      <c r="G454" s="2" t="str" cm="1">
        <f t="array" ref="G454">_xlfn.IFS(
F454&lt;50,"Small",
F454&lt;100,"Medium",
F454&lt;150,"Large",
F454&gt;=150,"Very Large"
)</f>
        <v>Small</v>
      </c>
      <c r="H454" s="2" t="s">
        <v>33</v>
      </c>
      <c r="I454" s="2">
        <v>47.781799999999997</v>
      </c>
      <c r="J454" s="2">
        <v>14.383699</v>
      </c>
      <c r="K454" s="2" t="str">
        <f t="shared" si="29"/>
        <v>Available</v>
      </c>
      <c r="L454" s="2" t="s">
        <v>10</v>
      </c>
      <c r="M454" s="3">
        <v>45384</v>
      </c>
      <c r="N454" s="3" t="str">
        <f t="shared" si="30"/>
        <v>April</v>
      </c>
      <c r="O454" s="2" t="s">
        <v>12</v>
      </c>
      <c r="P454" t="str">
        <f t="shared" si="31"/>
        <v>OK</v>
      </c>
    </row>
    <row r="455" spans="1:16" x14ac:dyDescent="0.3">
      <c r="A455" s="2">
        <f t="shared" si="28"/>
        <v>454</v>
      </c>
      <c r="B455" s="2" t="s">
        <v>29</v>
      </c>
      <c r="C455" s="2" t="s">
        <v>17</v>
      </c>
      <c r="D455" s="1">
        <v>0.27700000000000002</v>
      </c>
      <c r="E455" s="1" t="str" cm="1">
        <f t="array" ref="E455">_xlfn.IFS(
D455&lt;20,"Light",
D455&lt;50,"Medium",
D455&lt;100,"Heavy",
D455&gt;=100,"Very Heavy")</f>
        <v>Light</v>
      </c>
      <c r="F455" s="2">
        <v>18</v>
      </c>
      <c r="G455" s="2" t="str" cm="1">
        <f t="array" ref="G455">_xlfn.IFS(
F455&lt;50,"Small",
F455&lt;100,"Medium",
F455&lt;150,"Large",
F455&gt;=150,"Very Large"
)</f>
        <v>Small</v>
      </c>
      <c r="H455" s="2" t="s">
        <v>32</v>
      </c>
      <c r="I455" s="2">
        <v>47.781072999999999</v>
      </c>
      <c r="J455" s="2">
        <v>14.383506000000001</v>
      </c>
      <c r="K455" s="2" t="str">
        <f t="shared" si="29"/>
        <v>Available</v>
      </c>
      <c r="L455" s="2" t="s">
        <v>10</v>
      </c>
      <c r="M455" s="3">
        <v>45384</v>
      </c>
      <c r="N455" s="3" t="str">
        <f t="shared" si="30"/>
        <v>April</v>
      </c>
      <c r="O455" s="2" t="s">
        <v>12</v>
      </c>
      <c r="P455" t="str">
        <f t="shared" si="31"/>
        <v>OK</v>
      </c>
    </row>
    <row r="456" spans="1:16" x14ac:dyDescent="0.3">
      <c r="A456" s="2">
        <f t="shared" si="28"/>
        <v>455</v>
      </c>
      <c r="B456" s="2" t="s">
        <v>29</v>
      </c>
      <c r="C456" s="2" t="s">
        <v>11</v>
      </c>
      <c r="D456" s="1">
        <v>0.25800000000000001</v>
      </c>
      <c r="E456" s="1" t="str" cm="1">
        <f t="array" ref="E456">_xlfn.IFS(
D456&lt;20,"Light",
D456&lt;50,"Medium",
D456&lt;100,"Heavy",
D456&gt;=100,"Very Heavy")</f>
        <v>Light</v>
      </c>
      <c r="F456" s="2">
        <v>19</v>
      </c>
      <c r="G456" s="2" t="str" cm="1">
        <f t="array" ref="G456">_xlfn.IFS(
F456&lt;50,"Small",
F456&lt;100,"Medium",
F456&lt;150,"Large",
F456&gt;=150,"Very Large"
)</f>
        <v>Small</v>
      </c>
      <c r="H456" s="2" t="s">
        <v>32</v>
      </c>
      <c r="I456" s="2">
        <v>48.162250999999998</v>
      </c>
      <c r="J456" s="2">
        <v>11.494811</v>
      </c>
      <c r="K456" s="2" t="str">
        <f t="shared" si="29"/>
        <v>Available</v>
      </c>
      <c r="L456" s="2" t="s">
        <v>10</v>
      </c>
      <c r="M456" s="3">
        <v>45384</v>
      </c>
      <c r="N456" s="3" t="str">
        <f t="shared" si="30"/>
        <v>April</v>
      </c>
      <c r="O456" s="2" t="s">
        <v>12</v>
      </c>
      <c r="P456" t="str">
        <f t="shared" si="31"/>
        <v>OK</v>
      </c>
    </row>
    <row r="457" spans="1:16" x14ac:dyDescent="0.3">
      <c r="A457" s="2">
        <f t="shared" si="28"/>
        <v>456</v>
      </c>
      <c r="B457" s="2" t="s">
        <v>29</v>
      </c>
      <c r="C457" s="2" t="s">
        <v>11</v>
      </c>
      <c r="D457" s="1">
        <v>0.25600000000000001</v>
      </c>
      <c r="E457" s="1" t="str" cm="1">
        <f t="array" ref="E457">_xlfn.IFS(
D457&lt;20,"Light",
D457&lt;50,"Medium",
D457&lt;100,"Heavy",
D457&gt;=100,"Very Heavy")</f>
        <v>Light</v>
      </c>
      <c r="F457" s="2">
        <v>16</v>
      </c>
      <c r="G457" s="2" t="str" cm="1">
        <f t="array" ref="G457">_xlfn.IFS(
F457&lt;50,"Small",
F457&lt;100,"Medium",
F457&lt;150,"Large",
F457&gt;=150,"Very Large"
)</f>
        <v>Small</v>
      </c>
      <c r="H457" s="2" t="s">
        <v>33</v>
      </c>
      <c r="I457" s="2">
        <v>48.160432</v>
      </c>
      <c r="J457" s="2">
        <v>11.494472</v>
      </c>
      <c r="K457" s="2" t="str">
        <f t="shared" si="29"/>
        <v>Available</v>
      </c>
      <c r="L457" s="2" t="s">
        <v>10</v>
      </c>
      <c r="M457" s="3">
        <v>45384</v>
      </c>
      <c r="N457" s="3" t="str">
        <f t="shared" si="30"/>
        <v>April</v>
      </c>
      <c r="O457" s="2" t="s">
        <v>12</v>
      </c>
      <c r="P457" t="str">
        <f t="shared" si="31"/>
        <v>OK</v>
      </c>
    </row>
    <row r="458" spans="1:16" x14ac:dyDescent="0.3">
      <c r="A458" s="2">
        <f t="shared" si="28"/>
        <v>457</v>
      </c>
      <c r="B458" s="2" t="s">
        <v>29</v>
      </c>
      <c r="C458" s="2" t="s">
        <v>11</v>
      </c>
      <c r="D458" s="1">
        <v>0.317</v>
      </c>
      <c r="E458" s="1" t="str" cm="1">
        <f t="array" ref="E458">_xlfn.IFS(
D458&lt;20,"Light",
D458&lt;50,"Medium",
D458&lt;100,"Heavy",
D458&gt;=100,"Very Heavy")</f>
        <v>Light</v>
      </c>
      <c r="F458" s="2">
        <v>21</v>
      </c>
      <c r="G458" s="2" t="str" cm="1">
        <f t="array" ref="G458">_xlfn.IFS(
F458&lt;50,"Small",
F458&lt;100,"Medium",
F458&lt;150,"Large",
F458&gt;=150,"Very Large"
)</f>
        <v>Small</v>
      </c>
      <c r="H458" s="2" t="s">
        <v>33</v>
      </c>
      <c r="I458" s="2">
        <v>48.162562999999999</v>
      </c>
      <c r="J458" s="2">
        <v>11.495277</v>
      </c>
      <c r="K458" s="2" t="str">
        <f t="shared" si="29"/>
        <v>Available</v>
      </c>
      <c r="L458" s="2" t="s">
        <v>10</v>
      </c>
      <c r="M458" s="3">
        <v>45384</v>
      </c>
      <c r="N458" s="3" t="str">
        <f t="shared" si="30"/>
        <v>April</v>
      </c>
      <c r="O458" s="2" t="s">
        <v>12</v>
      </c>
      <c r="P458" t="str">
        <f t="shared" si="31"/>
        <v>OK</v>
      </c>
    </row>
    <row r="459" spans="1:16" x14ac:dyDescent="0.3">
      <c r="A459" s="2">
        <f t="shared" si="28"/>
        <v>458</v>
      </c>
      <c r="B459" s="2" t="s">
        <v>29</v>
      </c>
      <c r="C459" s="2" t="s">
        <v>11</v>
      </c>
      <c r="D459" s="1">
        <v>0.26600000000000001</v>
      </c>
      <c r="E459" s="1" t="str" cm="1">
        <f t="array" ref="E459">_xlfn.IFS(
D459&lt;20,"Light",
D459&lt;50,"Medium",
D459&lt;100,"Heavy",
D459&gt;=100,"Very Heavy")</f>
        <v>Light</v>
      </c>
      <c r="F459" s="2">
        <v>18</v>
      </c>
      <c r="G459" s="2" t="str" cm="1">
        <f t="array" ref="G459">_xlfn.IFS(
F459&lt;50,"Small",
F459&lt;100,"Medium",
F459&lt;150,"Large",
F459&gt;=150,"Very Large"
)</f>
        <v>Small</v>
      </c>
      <c r="H459" s="2" t="s">
        <v>33</v>
      </c>
      <c r="I459" s="2">
        <v>48.161906000000002</v>
      </c>
      <c r="J459" s="2">
        <v>11.490434</v>
      </c>
      <c r="K459" s="2" t="str">
        <f t="shared" si="29"/>
        <v>Available</v>
      </c>
      <c r="L459" s="2" t="s">
        <v>10</v>
      </c>
      <c r="M459" s="3">
        <v>45384</v>
      </c>
      <c r="N459" s="3" t="str">
        <f t="shared" si="30"/>
        <v>April</v>
      </c>
      <c r="O459" s="2" t="s">
        <v>12</v>
      </c>
      <c r="P459" t="str">
        <f t="shared" si="31"/>
        <v>OK</v>
      </c>
    </row>
    <row r="460" spans="1:16" x14ac:dyDescent="0.3">
      <c r="A460" s="2">
        <f t="shared" si="28"/>
        <v>459</v>
      </c>
      <c r="B460" s="2" t="s">
        <v>29</v>
      </c>
      <c r="C460" s="2" t="s">
        <v>11</v>
      </c>
      <c r="D460" s="1">
        <v>0.28299999999999997</v>
      </c>
      <c r="E460" s="1" t="str" cm="1">
        <f t="array" ref="E460">_xlfn.IFS(
D460&lt;20,"Light",
D460&lt;50,"Medium",
D460&lt;100,"Heavy",
D460&gt;=100,"Very Heavy")</f>
        <v>Light</v>
      </c>
      <c r="F460" s="2">
        <v>21</v>
      </c>
      <c r="G460" s="2" t="str" cm="1">
        <f t="array" ref="G460">_xlfn.IFS(
F460&lt;50,"Small",
F460&lt;100,"Medium",
F460&lt;150,"Large",
F460&gt;=150,"Very Large"
)</f>
        <v>Small</v>
      </c>
      <c r="H460" s="2" t="s">
        <v>32</v>
      </c>
      <c r="I460" s="2">
        <v>49.562323999999997</v>
      </c>
      <c r="J460" s="2">
        <v>11.092212</v>
      </c>
      <c r="K460" s="2" t="str">
        <f t="shared" si="29"/>
        <v>Available</v>
      </c>
      <c r="L460" s="2" t="s">
        <v>10</v>
      </c>
      <c r="M460" s="3">
        <v>45384</v>
      </c>
      <c r="N460" s="3" t="str">
        <f t="shared" si="30"/>
        <v>April</v>
      </c>
      <c r="O460" s="2" t="s">
        <v>12</v>
      </c>
      <c r="P460" t="str">
        <f t="shared" si="31"/>
        <v>OK</v>
      </c>
    </row>
    <row r="461" spans="1:16" x14ac:dyDescent="0.3">
      <c r="A461" s="2">
        <f t="shared" si="28"/>
        <v>460</v>
      </c>
      <c r="B461" s="2" t="s">
        <v>29</v>
      </c>
      <c r="C461" s="2" t="s">
        <v>11</v>
      </c>
      <c r="D461" s="1">
        <v>0.30499999999999999</v>
      </c>
      <c r="E461" s="1" t="str" cm="1">
        <f t="array" ref="E461">_xlfn.IFS(
D461&lt;20,"Light",
D461&lt;50,"Medium",
D461&lt;100,"Heavy",
D461&gt;=100,"Very Heavy")</f>
        <v>Light</v>
      </c>
      <c r="F461" s="2">
        <v>18</v>
      </c>
      <c r="G461" s="2" t="str" cm="1">
        <f t="array" ref="G461">_xlfn.IFS(
F461&lt;50,"Small",
F461&lt;100,"Medium",
F461&lt;150,"Large",
F461&gt;=150,"Very Large"
)</f>
        <v>Small</v>
      </c>
      <c r="H461" s="2" t="s">
        <v>33</v>
      </c>
      <c r="I461" s="2">
        <v>49.561973000000002</v>
      </c>
      <c r="J461" s="2">
        <v>11.086554</v>
      </c>
      <c r="K461" s="2" t="str">
        <f t="shared" si="29"/>
        <v>Available</v>
      </c>
      <c r="L461" s="2" t="s">
        <v>10</v>
      </c>
      <c r="M461" s="3">
        <v>45384</v>
      </c>
      <c r="N461" s="3" t="str">
        <f t="shared" si="30"/>
        <v>April</v>
      </c>
      <c r="O461" s="2" t="s">
        <v>12</v>
      </c>
      <c r="P461" t="str">
        <f t="shared" si="31"/>
        <v>OK</v>
      </c>
    </row>
    <row r="462" spans="1:16" x14ac:dyDescent="0.3">
      <c r="A462" s="2">
        <f t="shared" si="28"/>
        <v>461</v>
      </c>
      <c r="B462" s="2" t="s">
        <v>29</v>
      </c>
      <c r="C462" s="2" t="s">
        <v>17</v>
      </c>
      <c r="D462" s="1">
        <v>0.28199999999999997</v>
      </c>
      <c r="E462" s="1" t="str" cm="1">
        <f t="array" ref="E462">_xlfn.IFS(
D462&lt;20,"Light",
D462&lt;50,"Medium",
D462&lt;100,"Heavy",
D462&gt;=100,"Very Heavy")</f>
        <v>Light</v>
      </c>
      <c r="F462" s="2">
        <v>18</v>
      </c>
      <c r="G462" s="2" t="str" cm="1">
        <f t="array" ref="G462">_xlfn.IFS(
F462&lt;50,"Small",
F462&lt;100,"Medium",
F462&lt;150,"Large",
F462&gt;=150,"Very Large"
)</f>
        <v>Small</v>
      </c>
      <c r="H462" s="2" t="s">
        <v>32</v>
      </c>
      <c r="I462" s="2">
        <v>47.781754999999997</v>
      </c>
      <c r="J462" s="2">
        <v>14.385083</v>
      </c>
      <c r="K462" s="2" t="str">
        <f t="shared" si="29"/>
        <v>Available</v>
      </c>
      <c r="L462" s="2" t="s">
        <v>10</v>
      </c>
      <c r="M462" s="3">
        <v>45384</v>
      </c>
      <c r="N462" s="3" t="str">
        <f t="shared" si="30"/>
        <v>April</v>
      </c>
      <c r="O462" s="2" t="s">
        <v>12</v>
      </c>
      <c r="P462" t="str">
        <f t="shared" si="31"/>
        <v>OK</v>
      </c>
    </row>
    <row r="463" spans="1:16" x14ac:dyDescent="0.3">
      <c r="A463" s="2">
        <f t="shared" si="28"/>
        <v>462</v>
      </c>
      <c r="B463" s="2" t="s">
        <v>29</v>
      </c>
      <c r="C463" s="2" t="s">
        <v>11</v>
      </c>
      <c r="D463" s="1">
        <v>0.318</v>
      </c>
      <c r="E463" s="1" t="str" cm="1">
        <f t="array" ref="E463">_xlfn.IFS(
D463&lt;20,"Light",
D463&lt;50,"Medium",
D463&lt;100,"Heavy",
D463&gt;=100,"Very Heavy")</f>
        <v>Light</v>
      </c>
      <c r="F463" s="2">
        <v>18</v>
      </c>
      <c r="G463" s="2" t="str" cm="1">
        <f t="array" ref="G463">_xlfn.IFS(
F463&lt;50,"Small",
F463&lt;100,"Medium",
F463&lt;150,"Large",
F463&gt;=150,"Very Large"
)</f>
        <v>Small</v>
      </c>
      <c r="H463" s="2" t="s">
        <v>32</v>
      </c>
      <c r="I463" s="2">
        <v>49.557527</v>
      </c>
      <c r="J463" s="2">
        <v>11.089447</v>
      </c>
      <c r="K463" s="2" t="str">
        <f t="shared" si="29"/>
        <v>Available</v>
      </c>
      <c r="L463" s="2" t="s">
        <v>10</v>
      </c>
      <c r="M463" s="3">
        <v>45384</v>
      </c>
      <c r="N463" s="3" t="str">
        <f t="shared" si="30"/>
        <v>April</v>
      </c>
      <c r="O463" s="2" t="s">
        <v>12</v>
      </c>
      <c r="P463" t="str">
        <f t="shared" si="31"/>
        <v>OK</v>
      </c>
    </row>
    <row r="464" spans="1:16" x14ac:dyDescent="0.3">
      <c r="A464" s="2">
        <f t="shared" si="28"/>
        <v>463</v>
      </c>
      <c r="B464" s="2" t="s">
        <v>28</v>
      </c>
      <c r="C464" s="2" t="s">
        <v>13</v>
      </c>
      <c r="D464" s="1">
        <v>27</v>
      </c>
      <c r="E464" s="1" t="str" cm="1">
        <f t="array" ref="E464">_xlfn.IFS(
D464&lt;20,"Light",
D464&lt;50,"Medium",
D464&lt;100,"Heavy",
D464&gt;=100,"Very Heavy")</f>
        <v>Medium</v>
      </c>
      <c r="F464" s="2">
        <v>94</v>
      </c>
      <c r="G464" s="2" t="str" cm="1">
        <f t="array" ref="G464">_xlfn.IFS(
F464&lt;50,"Small",
F464&lt;100,"Medium",
F464&lt;150,"Large",
F464&gt;=150,"Very Large"
)</f>
        <v>Medium</v>
      </c>
      <c r="H464" s="2" t="s">
        <v>33</v>
      </c>
      <c r="I464" s="2">
        <v>48.411163000000002</v>
      </c>
      <c r="J464" s="2">
        <v>18.864362</v>
      </c>
      <c r="K464" s="2" t="str">
        <f t="shared" si="29"/>
        <v>Available</v>
      </c>
      <c r="L464" s="2" t="s">
        <v>10</v>
      </c>
      <c r="M464" s="3">
        <v>45384</v>
      </c>
      <c r="N464" s="3" t="str">
        <f t="shared" si="30"/>
        <v>April</v>
      </c>
      <c r="O464" s="2" t="s">
        <v>14</v>
      </c>
      <c r="P464" t="str">
        <f t="shared" si="31"/>
        <v>OK</v>
      </c>
    </row>
    <row r="465" spans="1:16" x14ac:dyDescent="0.3">
      <c r="A465" s="2">
        <f t="shared" si="28"/>
        <v>464</v>
      </c>
      <c r="B465" s="2" t="s">
        <v>29</v>
      </c>
      <c r="C465" s="2" t="s">
        <v>13</v>
      </c>
      <c r="D465" s="1">
        <v>0.33900000000000002</v>
      </c>
      <c r="E465" s="1" t="str" cm="1">
        <f t="array" ref="E465">_xlfn.IFS(
D465&lt;20,"Light",
D465&lt;50,"Medium",
D465&lt;100,"Heavy",
D465&gt;=100,"Very Heavy")</f>
        <v>Light</v>
      </c>
      <c r="F465" s="2">
        <v>20</v>
      </c>
      <c r="G465" s="2" t="str" cm="1">
        <f t="array" ref="G465">_xlfn.IFS(
F465&lt;50,"Small",
F465&lt;100,"Medium",
F465&lt;150,"Large",
F465&gt;=150,"Very Large"
)</f>
        <v>Small</v>
      </c>
      <c r="H465" s="2" t="s">
        <v>32</v>
      </c>
      <c r="I465" s="2">
        <v>48.410770999999997</v>
      </c>
      <c r="J465" s="2">
        <v>18.865888000000002</v>
      </c>
      <c r="K465" s="2" t="str">
        <f t="shared" si="29"/>
        <v>Available</v>
      </c>
      <c r="L465" s="2" t="s">
        <v>10</v>
      </c>
      <c r="M465" s="3">
        <v>45384</v>
      </c>
      <c r="N465" s="3" t="str">
        <f t="shared" si="30"/>
        <v>April</v>
      </c>
      <c r="O465" s="2" t="s">
        <v>14</v>
      </c>
      <c r="P465" t="str">
        <f t="shared" si="31"/>
        <v>OK</v>
      </c>
    </row>
    <row r="466" spans="1:16" x14ac:dyDescent="0.3">
      <c r="A466" s="2">
        <f t="shared" si="28"/>
        <v>465</v>
      </c>
      <c r="B466" s="2" t="s">
        <v>29</v>
      </c>
      <c r="C466" s="2" t="s">
        <v>13</v>
      </c>
      <c r="D466" s="1">
        <v>0.30199999999999999</v>
      </c>
      <c r="E466" s="1" t="str" cm="1">
        <f t="array" ref="E466">_xlfn.IFS(
D466&lt;20,"Light",
D466&lt;50,"Medium",
D466&lt;100,"Heavy",
D466&gt;=100,"Very Heavy")</f>
        <v>Light</v>
      </c>
      <c r="F466" s="2">
        <v>19</v>
      </c>
      <c r="G466" s="2" t="str" cm="1">
        <f t="array" ref="G466">_xlfn.IFS(
F466&lt;50,"Small",
F466&lt;100,"Medium",
F466&lt;150,"Large",
F466&gt;=150,"Very Large"
)</f>
        <v>Small</v>
      </c>
      <c r="H466" s="2" t="s">
        <v>32</v>
      </c>
      <c r="I466" s="2">
        <v>48.410201000000001</v>
      </c>
      <c r="J466" s="2">
        <v>18.862513</v>
      </c>
      <c r="K466" s="2" t="str">
        <f t="shared" si="29"/>
        <v>Available</v>
      </c>
      <c r="L466" s="2" t="s">
        <v>10</v>
      </c>
      <c r="M466" s="3">
        <v>45384</v>
      </c>
      <c r="N466" s="3" t="str">
        <f t="shared" si="30"/>
        <v>April</v>
      </c>
      <c r="O466" s="2" t="s">
        <v>14</v>
      </c>
      <c r="P466" t="str">
        <f t="shared" si="31"/>
        <v>OK</v>
      </c>
    </row>
    <row r="467" spans="1:16" x14ac:dyDescent="0.3">
      <c r="A467" s="2">
        <f t="shared" si="28"/>
        <v>466</v>
      </c>
      <c r="B467" s="2" t="s">
        <v>29</v>
      </c>
      <c r="C467" s="2" t="s">
        <v>13</v>
      </c>
      <c r="D467" s="1">
        <v>0.27600000000000002</v>
      </c>
      <c r="E467" s="1" t="str" cm="1">
        <f t="array" ref="E467">_xlfn.IFS(
D467&lt;20,"Light",
D467&lt;50,"Medium",
D467&lt;100,"Heavy",
D467&gt;=100,"Very Heavy")</f>
        <v>Light</v>
      </c>
      <c r="F467" s="2">
        <v>19</v>
      </c>
      <c r="G467" s="2" t="str" cm="1">
        <f t="array" ref="G467">_xlfn.IFS(
F467&lt;50,"Small",
F467&lt;100,"Medium",
F467&lt;150,"Large",
F467&gt;=150,"Very Large"
)</f>
        <v>Small</v>
      </c>
      <c r="H467" s="2" t="s">
        <v>32</v>
      </c>
      <c r="I467" s="2">
        <v>48.408110999999998</v>
      </c>
      <c r="J467" s="2">
        <v>18.865646000000002</v>
      </c>
      <c r="K467" s="2" t="str">
        <f t="shared" si="29"/>
        <v>Available</v>
      </c>
      <c r="L467" s="2" t="s">
        <v>10</v>
      </c>
      <c r="M467" s="3">
        <v>45384</v>
      </c>
      <c r="N467" s="3" t="str">
        <f t="shared" si="30"/>
        <v>April</v>
      </c>
      <c r="O467" s="2" t="s">
        <v>14</v>
      </c>
      <c r="P467" t="str">
        <f t="shared" si="31"/>
        <v>OK</v>
      </c>
    </row>
    <row r="468" spans="1:16" x14ac:dyDescent="0.3">
      <c r="A468" s="2">
        <f t="shared" si="28"/>
        <v>467</v>
      </c>
      <c r="B468" s="2" t="s">
        <v>29</v>
      </c>
      <c r="C468" s="2" t="s">
        <v>13</v>
      </c>
      <c r="D468" s="1">
        <v>0.252</v>
      </c>
      <c r="E468" s="1" t="str" cm="1">
        <f t="array" ref="E468">_xlfn.IFS(
D468&lt;20,"Light",
D468&lt;50,"Medium",
D468&lt;100,"Heavy",
D468&gt;=100,"Very Heavy")</f>
        <v>Light</v>
      </c>
      <c r="F468" s="2">
        <v>19</v>
      </c>
      <c r="G468" s="2" t="str" cm="1">
        <f t="array" ref="G468">_xlfn.IFS(
F468&lt;50,"Small",
F468&lt;100,"Medium",
F468&lt;150,"Large",
F468&gt;=150,"Very Large"
)</f>
        <v>Small</v>
      </c>
      <c r="H468" s="2" t="s">
        <v>33</v>
      </c>
      <c r="I468" s="2">
        <v>48.410932000000003</v>
      </c>
      <c r="J468" s="2">
        <v>18.861704</v>
      </c>
      <c r="K468" s="2" t="str">
        <f t="shared" si="29"/>
        <v>Available</v>
      </c>
      <c r="L468" s="2" t="s">
        <v>10</v>
      </c>
      <c r="M468" s="3">
        <v>45384</v>
      </c>
      <c r="N468" s="3" t="str">
        <f t="shared" si="30"/>
        <v>April</v>
      </c>
      <c r="O468" s="2" t="s">
        <v>14</v>
      </c>
      <c r="P468" t="str">
        <f t="shared" si="31"/>
        <v>OK</v>
      </c>
    </row>
    <row r="469" spans="1:16" x14ac:dyDescent="0.3">
      <c r="A469" s="2">
        <f t="shared" si="28"/>
        <v>468</v>
      </c>
      <c r="B469" s="2" t="s">
        <v>29</v>
      </c>
      <c r="C469" s="2" t="s">
        <v>13</v>
      </c>
      <c r="D469" s="1">
        <v>0.29299999999999998</v>
      </c>
      <c r="E469" s="1" t="str" cm="1">
        <f t="array" ref="E469">_xlfn.IFS(
D469&lt;20,"Light",
D469&lt;50,"Medium",
D469&lt;100,"Heavy",
D469&gt;=100,"Very Heavy")</f>
        <v>Light</v>
      </c>
      <c r="F469" s="2">
        <v>19</v>
      </c>
      <c r="G469" s="2" t="str" cm="1">
        <f t="array" ref="G469">_xlfn.IFS(
F469&lt;50,"Small",
F469&lt;100,"Medium",
F469&lt;150,"Large",
F469&gt;=150,"Very Large"
)</f>
        <v>Small</v>
      </c>
      <c r="H469" s="2" t="s">
        <v>32</v>
      </c>
      <c r="I469" s="2">
        <v>48.227614000000003</v>
      </c>
      <c r="J469" s="2">
        <v>17.072903</v>
      </c>
      <c r="K469" s="2" t="str">
        <f t="shared" si="29"/>
        <v>Available</v>
      </c>
      <c r="L469" s="2" t="s">
        <v>10</v>
      </c>
      <c r="M469" s="3">
        <v>45384</v>
      </c>
      <c r="N469" s="3" t="str">
        <f t="shared" si="30"/>
        <v>April</v>
      </c>
      <c r="O469" s="2" t="s">
        <v>14</v>
      </c>
      <c r="P469" t="str">
        <f t="shared" si="31"/>
        <v>OK</v>
      </c>
    </row>
    <row r="470" spans="1:16" x14ac:dyDescent="0.3">
      <c r="A470" s="2">
        <f t="shared" si="28"/>
        <v>469</v>
      </c>
      <c r="B470" s="2" t="s">
        <v>29</v>
      </c>
      <c r="C470" s="2" t="s">
        <v>7</v>
      </c>
      <c r="D470" s="1">
        <v>0.28599999999999998</v>
      </c>
      <c r="E470" s="1" t="str" cm="1">
        <f t="array" ref="E470">_xlfn.IFS(
D470&lt;20,"Light",
D470&lt;50,"Medium",
D470&lt;100,"Heavy",
D470&gt;=100,"Very Heavy")</f>
        <v>Light</v>
      </c>
      <c r="F470" s="2">
        <v>18</v>
      </c>
      <c r="G470" s="2" t="str" cm="1">
        <f t="array" ref="G470">_xlfn.IFS(
F470&lt;50,"Small",
F470&lt;100,"Medium",
F470&lt;150,"Large",
F470&gt;=150,"Very Large"
)</f>
        <v>Small</v>
      </c>
      <c r="H470" s="2" t="s">
        <v>32</v>
      </c>
      <c r="I470" s="2">
        <v>47.50826</v>
      </c>
      <c r="J470" s="2">
        <v>18.948349</v>
      </c>
      <c r="K470" s="2" t="str">
        <f t="shared" si="29"/>
        <v>Available</v>
      </c>
      <c r="L470" s="2" t="s">
        <v>10</v>
      </c>
      <c r="M470" s="3">
        <v>45385</v>
      </c>
      <c r="N470" s="3" t="str">
        <f t="shared" si="30"/>
        <v>April</v>
      </c>
      <c r="O470" s="2" t="s">
        <v>6</v>
      </c>
      <c r="P470" t="str">
        <f t="shared" si="31"/>
        <v>OK</v>
      </c>
    </row>
    <row r="471" spans="1:16" x14ac:dyDescent="0.3">
      <c r="A471" s="2">
        <f t="shared" si="28"/>
        <v>470</v>
      </c>
      <c r="B471" s="2" t="s">
        <v>30</v>
      </c>
      <c r="C471" s="2" t="s">
        <v>11</v>
      </c>
      <c r="D471" s="1">
        <v>1.2</v>
      </c>
      <c r="E471" s="1" t="str" cm="1">
        <f t="array" ref="E471">_xlfn.IFS(
D471&lt;20,"Light",
D471&lt;50,"Medium",
D471&lt;100,"Heavy",
D471&gt;=100,"Very Heavy")</f>
        <v>Light</v>
      </c>
      <c r="F471" s="2">
        <v>22</v>
      </c>
      <c r="G471" s="2" t="str" cm="1">
        <f t="array" ref="G471">_xlfn.IFS(
F471&lt;50,"Small",
F471&lt;100,"Medium",
F471&lt;150,"Large",
F471&gt;=150,"Very Large"
)</f>
        <v>Small</v>
      </c>
      <c r="H471" s="2" t="s">
        <v>32</v>
      </c>
      <c r="I471" s="2">
        <v>49.551211000000002</v>
      </c>
      <c r="J471" s="2">
        <v>11.077661000000001</v>
      </c>
      <c r="K471" s="2" t="str">
        <f t="shared" si="29"/>
        <v>Available</v>
      </c>
      <c r="L471" s="2" t="s">
        <v>10</v>
      </c>
      <c r="M471" s="3">
        <v>45385</v>
      </c>
      <c r="N471" s="3" t="str">
        <f t="shared" si="30"/>
        <v>April</v>
      </c>
      <c r="O471" s="2" t="s">
        <v>12</v>
      </c>
      <c r="P471" t="str">
        <f t="shared" si="31"/>
        <v>OK</v>
      </c>
    </row>
    <row r="472" spans="1:16" x14ac:dyDescent="0.3">
      <c r="A472" s="2">
        <f t="shared" si="28"/>
        <v>471</v>
      </c>
      <c r="B472" s="2" t="s">
        <v>30</v>
      </c>
      <c r="C472" s="2" t="s">
        <v>11</v>
      </c>
      <c r="D472" s="1">
        <v>0.9</v>
      </c>
      <c r="E472" s="1" t="str" cm="1">
        <f t="array" ref="E472">_xlfn.IFS(
D472&lt;20,"Light",
D472&lt;50,"Medium",
D472&lt;100,"Heavy",
D472&gt;=100,"Very Heavy")</f>
        <v>Light</v>
      </c>
      <c r="F472" s="2">
        <v>23</v>
      </c>
      <c r="G472" s="2" t="str" cm="1">
        <f t="array" ref="G472">_xlfn.IFS(
F472&lt;50,"Small",
F472&lt;100,"Medium",
F472&lt;150,"Large",
F472&gt;=150,"Very Large"
)</f>
        <v>Small</v>
      </c>
      <c r="H472" s="2" t="s">
        <v>33</v>
      </c>
      <c r="I472" s="2">
        <v>49.562582999999997</v>
      </c>
      <c r="J472" s="2">
        <v>11.082312</v>
      </c>
      <c r="K472" s="2" t="str">
        <f t="shared" si="29"/>
        <v>Available</v>
      </c>
      <c r="L472" s="2" t="s">
        <v>10</v>
      </c>
      <c r="M472" s="3">
        <v>45385</v>
      </c>
      <c r="N472" s="3" t="str">
        <f t="shared" si="30"/>
        <v>April</v>
      </c>
      <c r="O472" s="2" t="s">
        <v>12</v>
      </c>
      <c r="P472" t="str">
        <f t="shared" si="31"/>
        <v>OK</v>
      </c>
    </row>
    <row r="473" spans="1:16" x14ac:dyDescent="0.3">
      <c r="A473" s="2">
        <f t="shared" si="28"/>
        <v>472</v>
      </c>
      <c r="B473" s="2" t="s">
        <v>30</v>
      </c>
      <c r="C473" s="2" t="s">
        <v>11</v>
      </c>
      <c r="D473" s="1">
        <v>0.7</v>
      </c>
      <c r="E473" s="1" t="str" cm="1">
        <f t="array" ref="E473">_xlfn.IFS(
D473&lt;20,"Light",
D473&lt;50,"Medium",
D473&lt;100,"Heavy",
D473&gt;=100,"Very Heavy")</f>
        <v>Light</v>
      </c>
      <c r="F473" s="2">
        <v>23</v>
      </c>
      <c r="G473" s="2" t="str" cm="1">
        <f t="array" ref="G473">_xlfn.IFS(
F473&lt;50,"Small",
F473&lt;100,"Medium",
F473&lt;150,"Large",
F473&gt;=150,"Very Large"
)</f>
        <v>Small</v>
      </c>
      <c r="H473" s="2" t="s">
        <v>33</v>
      </c>
      <c r="I473" s="2">
        <v>49.547597000000003</v>
      </c>
      <c r="J473" s="2">
        <v>11.079679</v>
      </c>
      <c r="K473" s="2" t="str">
        <f t="shared" si="29"/>
        <v>Available</v>
      </c>
      <c r="L473" s="2" t="s">
        <v>10</v>
      </c>
      <c r="M473" s="3">
        <v>45385</v>
      </c>
      <c r="N473" s="3" t="str">
        <f t="shared" si="30"/>
        <v>April</v>
      </c>
      <c r="O473" s="2" t="s">
        <v>12</v>
      </c>
      <c r="P473" t="str">
        <f t="shared" si="31"/>
        <v>OK</v>
      </c>
    </row>
    <row r="474" spans="1:16" x14ac:dyDescent="0.3">
      <c r="A474" s="2">
        <f t="shared" si="28"/>
        <v>473</v>
      </c>
      <c r="B474" s="2" t="s">
        <v>30</v>
      </c>
      <c r="C474" s="2" t="s">
        <v>13</v>
      </c>
      <c r="D474" s="1">
        <v>1.2</v>
      </c>
      <c r="E474" s="1" t="str" cm="1">
        <f t="array" ref="E474">_xlfn.IFS(
D474&lt;20,"Light",
D474&lt;50,"Medium",
D474&lt;100,"Heavy",
D474&gt;=100,"Very Heavy")</f>
        <v>Light</v>
      </c>
      <c r="F474" s="2">
        <v>26</v>
      </c>
      <c r="G474" s="2" t="str" cm="1">
        <f t="array" ref="G474">_xlfn.IFS(
F474&lt;50,"Small",
F474&lt;100,"Medium",
F474&lt;150,"Large",
F474&gt;=150,"Very Large"
)</f>
        <v>Small</v>
      </c>
      <c r="H474" s="2" t="s">
        <v>32</v>
      </c>
      <c r="I474" s="2">
        <v>48.409120000000001</v>
      </c>
      <c r="J474" s="2">
        <v>18.869274000000001</v>
      </c>
      <c r="K474" s="2" t="str">
        <f t="shared" si="29"/>
        <v>Available</v>
      </c>
      <c r="L474" s="2" t="s">
        <v>10</v>
      </c>
      <c r="M474" s="3">
        <v>45385</v>
      </c>
      <c r="N474" s="3" t="str">
        <f t="shared" si="30"/>
        <v>April</v>
      </c>
      <c r="O474" s="2" t="s">
        <v>14</v>
      </c>
      <c r="P474" t="str">
        <f t="shared" si="31"/>
        <v>OK</v>
      </c>
    </row>
    <row r="475" spans="1:16" x14ac:dyDescent="0.3">
      <c r="A475" s="2">
        <f t="shared" si="28"/>
        <v>474</v>
      </c>
      <c r="B475" s="2" t="s">
        <v>29</v>
      </c>
      <c r="C475" s="2" t="s">
        <v>15</v>
      </c>
      <c r="D475" s="1">
        <v>0.25800000000000001</v>
      </c>
      <c r="E475" s="1" t="str" cm="1">
        <f t="array" ref="E475">_xlfn.IFS(
D475&lt;20,"Light",
D475&lt;50,"Medium",
D475&lt;100,"Heavy",
D475&gt;=100,"Very Heavy")</f>
        <v>Light</v>
      </c>
      <c r="F475" s="2">
        <v>21</v>
      </c>
      <c r="G475" s="2" t="str" cm="1">
        <f t="array" ref="G475">_xlfn.IFS(
F475&lt;50,"Small",
F475&lt;100,"Medium",
F475&lt;150,"Large",
F475&gt;=150,"Very Large"
)</f>
        <v>Small</v>
      </c>
      <c r="H475" s="2" t="s">
        <v>33</v>
      </c>
      <c r="I475" s="2">
        <v>49.938786999999998</v>
      </c>
      <c r="J475" s="2">
        <v>14.178284</v>
      </c>
      <c r="K475" s="2" t="str">
        <f t="shared" si="29"/>
        <v>Available</v>
      </c>
      <c r="L475" s="2" t="s">
        <v>10</v>
      </c>
      <c r="M475" s="3">
        <v>45385</v>
      </c>
      <c r="N475" s="3" t="str">
        <f t="shared" si="30"/>
        <v>April</v>
      </c>
      <c r="O475" s="2" t="s">
        <v>14</v>
      </c>
      <c r="P475" t="str">
        <f t="shared" si="31"/>
        <v>OK</v>
      </c>
    </row>
    <row r="476" spans="1:16" x14ac:dyDescent="0.3">
      <c r="A476" s="2">
        <f t="shared" si="28"/>
        <v>475</v>
      </c>
      <c r="B476" s="2" t="s">
        <v>27</v>
      </c>
      <c r="C476" s="2" t="s">
        <v>4</v>
      </c>
      <c r="D476" s="1">
        <v>1000</v>
      </c>
      <c r="E476" s="1" t="str" cm="1">
        <f t="array" ref="E476">_xlfn.IFS(
D476&lt;20,"Light",
D476&lt;50,"Medium",
D476&lt;100,"Heavy",
D476&gt;=100,"Very Heavy")</f>
        <v>Very Heavy</v>
      </c>
      <c r="F476" s="2">
        <v>295</v>
      </c>
      <c r="G476" s="2" t="str" cm="1">
        <f t="array" ref="G476">_xlfn.IFS(
F476&lt;50,"Small",
F476&lt;100,"Medium",
F476&lt;150,"Large",
F476&gt;=150,"Very Large"
)</f>
        <v>Very Large</v>
      </c>
      <c r="H476" s="2" t="s">
        <v>32</v>
      </c>
      <c r="I476" s="2">
        <v>52.809542999999998</v>
      </c>
      <c r="J476" s="2">
        <v>23.708563999999999</v>
      </c>
      <c r="K476" s="2" t="str">
        <f t="shared" si="29"/>
        <v>Available</v>
      </c>
      <c r="L476" s="2" t="s">
        <v>10</v>
      </c>
      <c r="M476" s="3">
        <v>45386</v>
      </c>
      <c r="N476" s="3" t="str">
        <f t="shared" si="30"/>
        <v>April</v>
      </c>
      <c r="O476" s="2" t="s">
        <v>6</v>
      </c>
      <c r="P476" t="str">
        <f t="shared" si="31"/>
        <v>OK</v>
      </c>
    </row>
    <row r="477" spans="1:16" x14ac:dyDescent="0.3">
      <c r="A477" s="2">
        <f t="shared" si="28"/>
        <v>476</v>
      </c>
      <c r="B477" s="2" t="s">
        <v>30</v>
      </c>
      <c r="C477" s="2" t="s">
        <v>7</v>
      </c>
      <c r="D477" s="1">
        <v>0.7</v>
      </c>
      <c r="E477" s="1" t="str" cm="1">
        <f t="array" ref="E477">_xlfn.IFS(
D477&lt;20,"Light",
D477&lt;50,"Medium",
D477&lt;100,"Heavy",
D477&gt;=100,"Very Heavy")</f>
        <v>Light</v>
      </c>
      <c r="F477" s="2">
        <v>23</v>
      </c>
      <c r="G477" s="2" t="str" cm="1">
        <f t="array" ref="G477">_xlfn.IFS(
F477&lt;50,"Small",
F477&lt;100,"Medium",
F477&lt;150,"Large",
F477&gt;=150,"Very Large"
)</f>
        <v>Small</v>
      </c>
      <c r="H477" s="2" t="s">
        <v>33</v>
      </c>
      <c r="I477" s="2">
        <v>47.508516</v>
      </c>
      <c r="J477" s="2">
        <v>18.949428999999999</v>
      </c>
      <c r="K477" s="2" t="str">
        <f t="shared" si="29"/>
        <v>Available</v>
      </c>
      <c r="L477" s="2" t="s">
        <v>10</v>
      </c>
      <c r="M477" s="3">
        <v>45386</v>
      </c>
      <c r="N477" s="3" t="str">
        <f t="shared" si="30"/>
        <v>April</v>
      </c>
      <c r="O477" s="2" t="s">
        <v>6</v>
      </c>
      <c r="P477" t="str">
        <f t="shared" si="31"/>
        <v>OK</v>
      </c>
    </row>
    <row r="478" spans="1:16" x14ac:dyDescent="0.3">
      <c r="A478" s="2">
        <f t="shared" si="28"/>
        <v>477</v>
      </c>
      <c r="B478" s="2" t="s">
        <v>30</v>
      </c>
      <c r="C478" s="2" t="s">
        <v>7</v>
      </c>
      <c r="D478" s="1">
        <v>1.2</v>
      </c>
      <c r="E478" s="1" t="str" cm="1">
        <f t="array" ref="E478">_xlfn.IFS(
D478&lt;20,"Light",
D478&lt;50,"Medium",
D478&lt;100,"Heavy",
D478&gt;=100,"Very Heavy")</f>
        <v>Light</v>
      </c>
      <c r="F478" s="2">
        <v>24</v>
      </c>
      <c r="G478" s="2" t="str" cm="1">
        <f t="array" ref="G478">_xlfn.IFS(
F478&lt;50,"Small",
F478&lt;100,"Medium",
F478&lt;150,"Large",
F478&gt;=150,"Very Large"
)</f>
        <v>Small</v>
      </c>
      <c r="H478" s="2" t="s">
        <v>32</v>
      </c>
      <c r="I478" s="2">
        <v>47.508941</v>
      </c>
      <c r="J478" s="2">
        <v>18.948915</v>
      </c>
      <c r="K478" s="2" t="str">
        <f t="shared" si="29"/>
        <v>Available</v>
      </c>
      <c r="L478" s="2" t="s">
        <v>10</v>
      </c>
      <c r="M478" s="3">
        <v>45386</v>
      </c>
      <c r="N478" s="3" t="str">
        <f t="shared" si="30"/>
        <v>April</v>
      </c>
      <c r="O478" s="2" t="s">
        <v>6</v>
      </c>
      <c r="P478" t="str">
        <f t="shared" si="31"/>
        <v>OK</v>
      </c>
    </row>
    <row r="479" spans="1:16" x14ac:dyDescent="0.3">
      <c r="A479" s="2">
        <f t="shared" si="28"/>
        <v>478</v>
      </c>
      <c r="B479" s="2" t="s">
        <v>29</v>
      </c>
      <c r="C479" s="2" t="s">
        <v>4</v>
      </c>
      <c r="D479" s="1">
        <v>0.33700000000000002</v>
      </c>
      <c r="E479" s="1" t="str" cm="1">
        <f t="array" ref="E479">_xlfn.IFS(
D479&lt;20,"Light",
D479&lt;50,"Medium",
D479&lt;100,"Heavy",
D479&gt;=100,"Very Heavy")</f>
        <v>Light</v>
      </c>
      <c r="F479" s="2">
        <v>22</v>
      </c>
      <c r="G479" s="2" t="str" cm="1">
        <f t="array" ref="G479">_xlfn.IFS(
F479&lt;50,"Small",
F479&lt;100,"Medium",
F479&lt;150,"Large",
F479&gt;=150,"Very Large"
)</f>
        <v>Small</v>
      </c>
      <c r="H479" s="2" t="s">
        <v>33</v>
      </c>
      <c r="I479" s="2">
        <v>50.041818999999997</v>
      </c>
      <c r="J479" s="2">
        <v>19.951542</v>
      </c>
      <c r="K479" s="2" t="str">
        <f t="shared" si="29"/>
        <v>Available</v>
      </c>
      <c r="L479" s="2" t="s">
        <v>10</v>
      </c>
      <c r="M479" s="3">
        <v>45386</v>
      </c>
      <c r="N479" s="3" t="str">
        <f t="shared" si="30"/>
        <v>April</v>
      </c>
      <c r="O479" s="2" t="s">
        <v>6</v>
      </c>
      <c r="P479" t="str">
        <f t="shared" si="31"/>
        <v>OK</v>
      </c>
    </row>
    <row r="480" spans="1:16" x14ac:dyDescent="0.3">
      <c r="A480" s="2">
        <f t="shared" si="28"/>
        <v>479</v>
      </c>
      <c r="B480" s="2" t="s">
        <v>29</v>
      </c>
      <c r="C480" s="2" t="s">
        <v>4</v>
      </c>
      <c r="D480" s="1">
        <v>0.27200000000000002</v>
      </c>
      <c r="E480" s="1" t="str" cm="1">
        <f t="array" ref="E480">_xlfn.IFS(
D480&lt;20,"Light",
D480&lt;50,"Medium",
D480&lt;100,"Heavy",
D480&gt;=100,"Very Heavy")</f>
        <v>Light</v>
      </c>
      <c r="F480" s="2">
        <v>23</v>
      </c>
      <c r="G480" s="2" t="str" cm="1">
        <f t="array" ref="G480">_xlfn.IFS(
F480&lt;50,"Small",
F480&lt;100,"Medium",
F480&lt;150,"Large",
F480&gt;=150,"Very Large"
)</f>
        <v>Small</v>
      </c>
      <c r="H480" s="2" t="s">
        <v>33</v>
      </c>
      <c r="I480" s="2">
        <v>50.041800000000002</v>
      </c>
      <c r="J480" s="2">
        <v>19.950244000000001</v>
      </c>
      <c r="K480" s="2" t="str">
        <f t="shared" si="29"/>
        <v>Available</v>
      </c>
      <c r="L480" s="2" t="s">
        <v>10</v>
      </c>
      <c r="M480" s="3">
        <v>45386</v>
      </c>
      <c r="N480" s="3" t="str">
        <f t="shared" si="30"/>
        <v>April</v>
      </c>
      <c r="O480" s="2" t="s">
        <v>6</v>
      </c>
      <c r="P480" t="str">
        <f t="shared" si="31"/>
        <v>OK</v>
      </c>
    </row>
    <row r="481" spans="1:16" x14ac:dyDescent="0.3">
      <c r="A481" s="2">
        <f t="shared" si="28"/>
        <v>480</v>
      </c>
      <c r="B481" s="2" t="s">
        <v>29</v>
      </c>
      <c r="C481" s="2" t="s">
        <v>7</v>
      </c>
      <c r="D481" s="1">
        <v>0.26200000000000001</v>
      </c>
      <c r="E481" s="1" t="str" cm="1">
        <f t="array" ref="E481">_xlfn.IFS(
D481&lt;20,"Light",
D481&lt;50,"Medium",
D481&lt;100,"Heavy",
D481&gt;=100,"Very Heavy")</f>
        <v>Light</v>
      </c>
      <c r="F481" s="2">
        <v>22</v>
      </c>
      <c r="G481" s="2" t="str" cm="1">
        <f t="array" ref="G481">_xlfn.IFS(
F481&lt;50,"Small",
F481&lt;100,"Medium",
F481&lt;150,"Large",
F481&gt;=150,"Very Large"
)</f>
        <v>Small</v>
      </c>
      <c r="H481" s="2" t="s">
        <v>32</v>
      </c>
      <c r="I481" s="2">
        <v>47.508904999999999</v>
      </c>
      <c r="J481" s="2">
        <v>18.946570000000001</v>
      </c>
      <c r="K481" s="2" t="str">
        <f t="shared" si="29"/>
        <v>Available</v>
      </c>
      <c r="L481" s="2" t="s">
        <v>10</v>
      </c>
      <c r="M481" s="3">
        <v>45386</v>
      </c>
      <c r="N481" s="3" t="str">
        <f t="shared" si="30"/>
        <v>April</v>
      </c>
      <c r="O481" s="2" t="s">
        <v>6</v>
      </c>
      <c r="P481" t="str">
        <f t="shared" si="31"/>
        <v>OK</v>
      </c>
    </row>
    <row r="482" spans="1:16" x14ac:dyDescent="0.3">
      <c r="A482" s="2">
        <f t="shared" si="28"/>
        <v>481</v>
      </c>
      <c r="B482" s="2" t="s">
        <v>27</v>
      </c>
      <c r="C482" s="2" t="s">
        <v>4</v>
      </c>
      <c r="D482" s="1">
        <v>557</v>
      </c>
      <c r="E482" s="1" t="str" cm="1">
        <f t="array" ref="E482">_xlfn.IFS(
D482&lt;20,"Light",
D482&lt;50,"Medium",
D482&lt;100,"Heavy",
D482&gt;=100,"Very Heavy")</f>
        <v>Very Heavy</v>
      </c>
      <c r="F482" s="2">
        <v>255</v>
      </c>
      <c r="G482" s="2" t="str" cm="1">
        <f t="array" ref="G482">_xlfn.IFS(
F482&lt;50,"Small",
F482&lt;100,"Medium",
F482&lt;150,"Large",
F482&gt;=150,"Very Large"
)</f>
        <v>Very Large</v>
      </c>
      <c r="H482" s="2" t="s">
        <v>33</v>
      </c>
      <c r="I482" s="2">
        <v>52.811203999999996</v>
      </c>
      <c r="J482" s="2">
        <v>23.697814000000001</v>
      </c>
      <c r="K482" s="2" t="str">
        <f t="shared" si="29"/>
        <v>Available</v>
      </c>
      <c r="L482" s="2" t="s">
        <v>10</v>
      </c>
      <c r="M482" s="3">
        <v>45387</v>
      </c>
      <c r="N482" s="3" t="str">
        <f t="shared" si="30"/>
        <v>April</v>
      </c>
      <c r="O482" s="2" t="s">
        <v>6</v>
      </c>
      <c r="P482" t="str">
        <f t="shared" si="31"/>
        <v>OK</v>
      </c>
    </row>
    <row r="483" spans="1:16" x14ac:dyDescent="0.3">
      <c r="A483" s="2">
        <f t="shared" si="28"/>
        <v>482</v>
      </c>
      <c r="B483" s="2" t="s">
        <v>30</v>
      </c>
      <c r="C483" s="2" t="s">
        <v>7</v>
      </c>
      <c r="D483" s="1">
        <v>0.8</v>
      </c>
      <c r="E483" s="1" t="str" cm="1">
        <f t="array" ref="E483">_xlfn.IFS(
D483&lt;20,"Light",
D483&lt;50,"Medium",
D483&lt;100,"Heavy",
D483&gt;=100,"Very Heavy")</f>
        <v>Light</v>
      </c>
      <c r="F483" s="2">
        <v>17</v>
      </c>
      <c r="G483" s="2" t="str" cm="1">
        <f t="array" ref="G483">_xlfn.IFS(
F483&lt;50,"Small",
F483&lt;100,"Medium",
F483&lt;150,"Large",
F483&gt;=150,"Very Large"
)</f>
        <v>Small</v>
      </c>
      <c r="H483" s="2" t="s">
        <v>33</v>
      </c>
      <c r="I483" s="2">
        <v>47.507072999999998</v>
      </c>
      <c r="J483" s="2">
        <v>18.947873000000001</v>
      </c>
      <c r="K483" s="2" t="str">
        <f t="shared" si="29"/>
        <v>Available</v>
      </c>
      <c r="L483" s="2" t="s">
        <v>10</v>
      </c>
      <c r="M483" s="3">
        <v>45387</v>
      </c>
      <c r="N483" s="3" t="str">
        <f t="shared" si="30"/>
        <v>April</v>
      </c>
      <c r="O483" s="2" t="s">
        <v>6</v>
      </c>
      <c r="P483" t="str">
        <f t="shared" si="31"/>
        <v>OK</v>
      </c>
    </row>
    <row r="484" spans="1:16" x14ac:dyDescent="0.3">
      <c r="A484" s="2">
        <f t="shared" si="28"/>
        <v>483</v>
      </c>
      <c r="B484" s="2" t="s">
        <v>30</v>
      </c>
      <c r="C484" s="2" t="s">
        <v>17</v>
      </c>
      <c r="D484" s="1">
        <v>0.9</v>
      </c>
      <c r="E484" s="1" t="str" cm="1">
        <f t="array" ref="E484">_xlfn.IFS(
D484&lt;20,"Light",
D484&lt;50,"Medium",
D484&lt;100,"Heavy",
D484&gt;=100,"Very Heavy")</f>
        <v>Light</v>
      </c>
      <c r="F484" s="2">
        <v>22</v>
      </c>
      <c r="G484" s="2" t="str" cm="1">
        <f t="array" ref="G484">_xlfn.IFS(
F484&lt;50,"Small",
F484&lt;100,"Medium",
F484&lt;150,"Large",
F484&gt;=150,"Very Large"
)</f>
        <v>Small</v>
      </c>
      <c r="H484" s="2" t="s">
        <v>33</v>
      </c>
      <c r="I484" s="2">
        <v>47.31758</v>
      </c>
      <c r="J484" s="2">
        <v>11.187606000000001</v>
      </c>
      <c r="K484" s="2" t="str">
        <f t="shared" si="29"/>
        <v>Available</v>
      </c>
      <c r="L484" s="2" t="s">
        <v>10</v>
      </c>
      <c r="M484" s="3">
        <v>45387</v>
      </c>
      <c r="N484" s="3" t="str">
        <f t="shared" si="30"/>
        <v>April</v>
      </c>
      <c r="O484" s="2" t="s">
        <v>12</v>
      </c>
      <c r="P484" t="str">
        <f t="shared" si="31"/>
        <v>OK</v>
      </c>
    </row>
    <row r="485" spans="1:16" x14ac:dyDescent="0.3">
      <c r="A485" s="2">
        <f t="shared" si="28"/>
        <v>484</v>
      </c>
      <c r="B485" s="2" t="s">
        <v>30</v>
      </c>
      <c r="C485" s="2" t="s">
        <v>17</v>
      </c>
      <c r="D485" s="1">
        <v>0.8</v>
      </c>
      <c r="E485" s="1" t="str" cm="1">
        <f t="array" ref="E485">_xlfn.IFS(
D485&lt;20,"Light",
D485&lt;50,"Medium",
D485&lt;100,"Heavy",
D485&gt;=100,"Very Heavy")</f>
        <v>Light</v>
      </c>
      <c r="F485" s="2">
        <v>16</v>
      </c>
      <c r="G485" s="2" t="str" cm="1">
        <f t="array" ref="G485">_xlfn.IFS(
F485&lt;50,"Small",
F485&lt;100,"Medium",
F485&lt;150,"Large",
F485&gt;=150,"Very Large"
)</f>
        <v>Small</v>
      </c>
      <c r="H485" s="2" t="s">
        <v>32</v>
      </c>
      <c r="I485" s="2">
        <v>47.319470000000003</v>
      </c>
      <c r="J485" s="2">
        <v>11.18573</v>
      </c>
      <c r="K485" s="2" t="str">
        <f t="shared" si="29"/>
        <v>Available</v>
      </c>
      <c r="L485" s="2" t="s">
        <v>10</v>
      </c>
      <c r="M485" s="3">
        <v>45387</v>
      </c>
      <c r="N485" s="3" t="str">
        <f t="shared" si="30"/>
        <v>April</v>
      </c>
      <c r="O485" s="2" t="s">
        <v>12</v>
      </c>
      <c r="P485" t="str">
        <f t="shared" si="31"/>
        <v>OK</v>
      </c>
    </row>
    <row r="486" spans="1:16" x14ac:dyDescent="0.3">
      <c r="A486" s="2">
        <f t="shared" si="28"/>
        <v>485</v>
      </c>
      <c r="B486" s="2" t="s">
        <v>30</v>
      </c>
      <c r="C486" s="2" t="s">
        <v>17</v>
      </c>
      <c r="D486" s="1">
        <v>0.7</v>
      </c>
      <c r="E486" s="1" t="str" cm="1">
        <f t="array" ref="E486">_xlfn.IFS(
D486&lt;20,"Light",
D486&lt;50,"Medium",
D486&lt;100,"Heavy",
D486&gt;=100,"Very Heavy")</f>
        <v>Light</v>
      </c>
      <c r="F486" s="2">
        <v>18</v>
      </c>
      <c r="G486" s="2" t="str" cm="1">
        <f t="array" ref="G486">_xlfn.IFS(
F486&lt;50,"Small",
F486&lt;100,"Medium",
F486&lt;150,"Large",
F486&gt;=150,"Very Large"
)</f>
        <v>Small</v>
      </c>
      <c r="H486" s="2" t="s">
        <v>32</v>
      </c>
      <c r="I486" s="2">
        <v>47.319811999999999</v>
      </c>
      <c r="J486" s="2">
        <v>11.18479</v>
      </c>
      <c r="K486" s="2" t="str">
        <f t="shared" si="29"/>
        <v>Available</v>
      </c>
      <c r="L486" s="2" t="s">
        <v>10</v>
      </c>
      <c r="M486" s="3">
        <v>45387</v>
      </c>
      <c r="N486" s="3" t="str">
        <f t="shared" si="30"/>
        <v>April</v>
      </c>
      <c r="O486" s="2" t="s">
        <v>12</v>
      </c>
      <c r="P486" t="str">
        <f t="shared" si="31"/>
        <v>OK</v>
      </c>
    </row>
    <row r="487" spans="1:16" x14ac:dyDescent="0.3">
      <c r="A487" s="2">
        <f t="shared" si="28"/>
        <v>486</v>
      </c>
      <c r="B487" s="2" t="s">
        <v>30</v>
      </c>
      <c r="C487" s="2" t="s">
        <v>17</v>
      </c>
      <c r="D487" s="1">
        <v>0.8</v>
      </c>
      <c r="E487" s="1" t="str" cm="1">
        <f t="array" ref="E487">_xlfn.IFS(
D487&lt;20,"Light",
D487&lt;50,"Medium",
D487&lt;100,"Heavy",
D487&gt;=100,"Very Heavy")</f>
        <v>Light</v>
      </c>
      <c r="F487" s="2">
        <v>20</v>
      </c>
      <c r="G487" s="2" t="str" cm="1">
        <f t="array" ref="G487">_xlfn.IFS(
F487&lt;50,"Small",
F487&lt;100,"Medium",
F487&lt;150,"Large",
F487&gt;=150,"Very Large"
)</f>
        <v>Small</v>
      </c>
      <c r="H487" s="2" t="s">
        <v>33</v>
      </c>
      <c r="I487" s="2">
        <v>47.316383000000002</v>
      </c>
      <c r="J487" s="2">
        <v>11.188381</v>
      </c>
      <c r="K487" s="2" t="str">
        <f t="shared" si="29"/>
        <v>Available</v>
      </c>
      <c r="L487" s="2" t="s">
        <v>10</v>
      </c>
      <c r="M487" s="3">
        <v>45387</v>
      </c>
      <c r="N487" s="3" t="str">
        <f t="shared" si="30"/>
        <v>April</v>
      </c>
      <c r="O487" s="2" t="s">
        <v>12</v>
      </c>
      <c r="P487" t="str">
        <f t="shared" si="31"/>
        <v>OK</v>
      </c>
    </row>
    <row r="488" spans="1:16" x14ac:dyDescent="0.3">
      <c r="A488" s="2">
        <f t="shared" si="28"/>
        <v>487</v>
      </c>
      <c r="B488" s="2" t="s">
        <v>29</v>
      </c>
      <c r="C488" s="2" t="s">
        <v>17</v>
      </c>
      <c r="D488" s="1">
        <v>0.29899999999999999</v>
      </c>
      <c r="E488" s="1" t="str" cm="1">
        <f t="array" ref="E488">_xlfn.IFS(
D488&lt;20,"Light",
D488&lt;50,"Medium",
D488&lt;100,"Heavy",
D488&gt;=100,"Very Heavy")</f>
        <v>Light</v>
      </c>
      <c r="F488" s="2">
        <v>20</v>
      </c>
      <c r="G488" s="2" t="str" cm="1">
        <f t="array" ref="G488">_xlfn.IFS(
F488&lt;50,"Small",
F488&lt;100,"Medium",
F488&lt;150,"Large",
F488&gt;=150,"Very Large"
)</f>
        <v>Small</v>
      </c>
      <c r="H488" s="2" t="s">
        <v>33</v>
      </c>
      <c r="I488" s="2">
        <v>47.781131000000002</v>
      </c>
      <c r="J488" s="2">
        <v>14.382206999999999</v>
      </c>
      <c r="K488" s="2" t="str">
        <f t="shared" si="29"/>
        <v>Available</v>
      </c>
      <c r="L488" s="2" t="s">
        <v>10</v>
      </c>
      <c r="M488" s="3">
        <v>45387</v>
      </c>
      <c r="N488" s="3" t="str">
        <f t="shared" si="30"/>
        <v>April</v>
      </c>
      <c r="O488" s="2" t="s">
        <v>12</v>
      </c>
      <c r="P488" t="str">
        <f t="shared" si="31"/>
        <v>OK</v>
      </c>
    </row>
    <row r="489" spans="1:16" x14ac:dyDescent="0.3">
      <c r="A489" s="2">
        <f t="shared" si="28"/>
        <v>488</v>
      </c>
      <c r="B489" s="2" t="s">
        <v>29</v>
      </c>
      <c r="C489" s="2" t="s">
        <v>17</v>
      </c>
      <c r="D489" s="1">
        <v>0.26600000000000001</v>
      </c>
      <c r="E489" s="1" t="str" cm="1">
        <f t="array" ref="E489">_xlfn.IFS(
D489&lt;20,"Light",
D489&lt;50,"Medium",
D489&lt;100,"Heavy",
D489&gt;=100,"Very Heavy")</f>
        <v>Light</v>
      </c>
      <c r="F489" s="2">
        <v>20</v>
      </c>
      <c r="G489" s="2" t="str" cm="1">
        <f t="array" ref="G489">_xlfn.IFS(
F489&lt;50,"Small",
F489&lt;100,"Medium",
F489&lt;150,"Large",
F489&gt;=150,"Very Large"
)</f>
        <v>Small</v>
      </c>
      <c r="H489" s="2" t="s">
        <v>33</v>
      </c>
      <c r="I489" s="2">
        <v>47.781632000000002</v>
      </c>
      <c r="J489" s="2">
        <v>14.382365</v>
      </c>
      <c r="K489" s="2" t="str">
        <f t="shared" si="29"/>
        <v>Available</v>
      </c>
      <c r="L489" s="2" t="s">
        <v>10</v>
      </c>
      <c r="M489" s="3">
        <v>45387</v>
      </c>
      <c r="N489" s="3" t="str">
        <f t="shared" si="30"/>
        <v>April</v>
      </c>
      <c r="O489" s="2" t="s">
        <v>12</v>
      </c>
      <c r="P489" t="str">
        <f t="shared" si="31"/>
        <v>OK</v>
      </c>
    </row>
    <row r="490" spans="1:16" x14ac:dyDescent="0.3">
      <c r="A490" s="2">
        <f t="shared" si="28"/>
        <v>489</v>
      </c>
      <c r="B490" s="2" t="s">
        <v>29</v>
      </c>
      <c r="C490" s="2" t="s">
        <v>17</v>
      </c>
      <c r="D490" s="1">
        <v>0.308</v>
      </c>
      <c r="E490" s="1" t="str" cm="1">
        <f t="array" ref="E490">_xlfn.IFS(
D490&lt;20,"Light",
D490&lt;50,"Medium",
D490&lt;100,"Heavy",
D490&gt;=100,"Very Heavy")</f>
        <v>Light</v>
      </c>
      <c r="F490" s="2">
        <v>18</v>
      </c>
      <c r="G490" s="2" t="str" cm="1">
        <f t="array" ref="G490">_xlfn.IFS(
F490&lt;50,"Small",
F490&lt;100,"Medium",
F490&lt;150,"Large",
F490&gt;=150,"Very Large"
)</f>
        <v>Small</v>
      </c>
      <c r="H490" s="2" t="s">
        <v>32</v>
      </c>
      <c r="I490" s="2">
        <v>47.780904</v>
      </c>
      <c r="J490" s="2">
        <v>14.385669</v>
      </c>
      <c r="K490" s="2" t="str">
        <f t="shared" si="29"/>
        <v>Available</v>
      </c>
      <c r="L490" s="2" t="s">
        <v>10</v>
      </c>
      <c r="M490" s="3">
        <v>45387</v>
      </c>
      <c r="N490" s="3" t="str">
        <f t="shared" si="30"/>
        <v>April</v>
      </c>
      <c r="O490" s="2" t="s">
        <v>12</v>
      </c>
      <c r="P490" t="str">
        <f t="shared" si="31"/>
        <v>OK</v>
      </c>
    </row>
    <row r="491" spans="1:16" x14ac:dyDescent="0.3">
      <c r="A491" s="2">
        <f t="shared" si="28"/>
        <v>490</v>
      </c>
      <c r="B491" s="2" t="s">
        <v>29</v>
      </c>
      <c r="C491" s="2" t="s">
        <v>17</v>
      </c>
      <c r="D491" s="1">
        <v>0.26400000000000001</v>
      </c>
      <c r="E491" s="1" t="str" cm="1">
        <f t="array" ref="E491">_xlfn.IFS(
D491&lt;20,"Light",
D491&lt;50,"Medium",
D491&lt;100,"Heavy",
D491&gt;=100,"Very Heavy")</f>
        <v>Light</v>
      </c>
      <c r="F491" s="2">
        <v>22</v>
      </c>
      <c r="G491" s="2" t="str" cm="1">
        <f t="array" ref="G491">_xlfn.IFS(
F491&lt;50,"Small",
F491&lt;100,"Medium",
F491&lt;150,"Large",
F491&gt;=150,"Very Large"
)</f>
        <v>Small</v>
      </c>
      <c r="H491" s="2" t="s">
        <v>32</v>
      </c>
      <c r="I491" s="2">
        <v>47.781089000000001</v>
      </c>
      <c r="J491" s="2">
        <v>14.385211</v>
      </c>
      <c r="K491" s="2" t="str">
        <f t="shared" si="29"/>
        <v>Available</v>
      </c>
      <c r="L491" s="2" t="s">
        <v>10</v>
      </c>
      <c r="M491" s="3">
        <v>45387</v>
      </c>
      <c r="N491" s="3" t="str">
        <f t="shared" si="30"/>
        <v>April</v>
      </c>
      <c r="O491" s="2" t="s">
        <v>12</v>
      </c>
      <c r="P491" t="str">
        <f t="shared" si="31"/>
        <v>OK</v>
      </c>
    </row>
    <row r="492" spans="1:16" x14ac:dyDescent="0.3">
      <c r="A492" s="2">
        <f t="shared" si="28"/>
        <v>491</v>
      </c>
      <c r="B492" s="2" t="s">
        <v>29</v>
      </c>
      <c r="C492" s="2" t="s">
        <v>17</v>
      </c>
      <c r="D492" s="1">
        <v>0.32200000000000001</v>
      </c>
      <c r="E492" s="1" t="str" cm="1">
        <f t="array" ref="E492">_xlfn.IFS(
D492&lt;20,"Light",
D492&lt;50,"Medium",
D492&lt;100,"Heavy",
D492&gt;=100,"Very Heavy")</f>
        <v>Light</v>
      </c>
      <c r="F492" s="2">
        <v>20</v>
      </c>
      <c r="G492" s="2" t="str" cm="1">
        <f t="array" ref="G492">_xlfn.IFS(
F492&lt;50,"Small",
F492&lt;100,"Medium",
F492&lt;150,"Large",
F492&gt;=150,"Very Large"
)</f>
        <v>Small</v>
      </c>
      <c r="H492" s="2" t="s">
        <v>32</v>
      </c>
      <c r="I492" s="2">
        <v>47.781332999999997</v>
      </c>
      <c r="J492" s="2">
        <v>14.382547000000001</v>
      </c>
      <c r="K492" s="2" t="str">
        <f t="shared" si="29"/>
        <v>Available</v>
      </c>
      <c r="L492" s="2" t="s">
        <v>10</v>
      </c>
      <c r="M492" s="3">
        <v>45387</v>
      </c>
      <c r="N492" s="3" t="str">
        <f t="shared" si="30"/>
        <v>April</v>
      </c>
      <c r="O492" s="2" t="s">
        <v>12</v>
      </c>
      <c r="P492" t="str">
        <f t="shared" si="31"/>
        <v>OK</v>
      </c>
    </row>
    <row r="493" spans="1:16" x14ac:dyDescent="0.3">
      <c r="A493" s="2">
        <f t="shared" si="28"/>
        <v>492</v>
      </c>
      <c r="B493" s="2" t="s">
        <v>29</v>
      </c>
      <c r="C493" s="2" t="s">
        <v>17</v>
      </c>
      <c r="D493" s="1">
        <v>0.33200000000000002</v>
      </c>
      <c r="E493" s="1" t="str" cm="1">
        <f t="array" ref="E493">_xlfn.IFS(
D493&lt;20,"Light",
D493&lt;50,"Medium",
D493&lt;100,"Heavy",
D493&gt;=100,"Very Heavy")</f>
        <v>Light</v>
      </c>
      <c r="F493" s="2">
        <v>18</v>
      </c>
      <c r="G493" s="2" t="str" cm="1">
        <f t="array" ref="G493">_xlfn.IFS(
F493&lt;50,"Small",
F493&lt;100,"Medium",
F493&lt;150,"Large",
F493&gt;=150,"Very Large"
)</f>
        <v>Small</v>
      </c>
      <c r="H493" s="2" t="s">
        <v>33</v>
      </c>
      <c r="I493" s="2">
        <v>47.780926999999998</v>
      </c>
      <c r="J493" s="2">
        <v>14.382187999999999</v>
      </c>
      <c r="K493" s="2" t="str">
        <f t="shared" si="29"/>
        <v>Available</v>
      </c>
      <c r="L493" s="2" t="s">
        <v>10</v>
      </c>
      <c r="M493" s="3">
        <v>45387</v>
      </c>
      <c r="N493" s="3" t="str">
        <f t="shared" si="30"/>
        <v>April</v>
      </c>
      <c r="O493" s="2" t="s">
        <v>12</v>
      </c>
      <c r="P493" t="str">
        <f t="shared" si="31"/>
        <v>OK</v>
      </c>
    </row>
    <row r="494" spans="1:16" x14ac:dyDescent="0.3">
      <c r="A494" s="2">
        <f t="shared" si="28"/>
        <v>493</v>
      </c>
      <c r="B494" s="2" t="s">
        <v>29</v>
      </c>
      <c r="C494" s="2" t="s">
        <v>17</v>
      </c>
      <c r="D494" s="1">
        <v>0.253</v>
      </c>
      <c r="E494" s="1" t="str" cm="1">
        <f t="array" ref="E494">_xlfn.IFS(
D494&lt;20,"Light",
D494&lt;50,"Medium",
D494&lt;100,"Heavy",
D494&gt;=100,"Very Heavy")</f>
        <v>Light</v>
      </c>
      <c r="F494" s="2">
        <v>21</v>
      </c>
      <c r="G494" s="2" t="str" cm="1">
        <f t="array" ref="G494">_xlfn.IFS(
F494&lt;50,"Small",
F494&lt;100,"Medium",
F494&lt;150,"Large",
F494&gt;=150,"Very Large"
)</f>
        <v>Small</v>
      </c>
      <c r="H494" s="2" t="s">
        <v>32</v>
      </c>
      <c r="I494" s="2">
        <v>47.856031999999999</v>
      </c>
      <c r="J494" s="2">
        <v>15.076768</v>
      </c>
      <c r="K494" s="2" t="str">
        <f t="shared" si="29"/>
        <v>Available</v>
      </c>
      <c r="L494" s="2" t="s">
        <v>10</v>
      </c>
      <c r="M494" s="3">
        <v>45387</v>
      </c>
      <c r="N494" s="3" t="str">
        <f t="shared" si="30"/>
        <v>April</v>
      </c>
      <c r="O494" s="2" t="s">
        <v>12</v>
      </c>
      <c r="P494" t="str">
        <f t="shared" si="31"/>
        <v>OK</v>
      </c>
    </row>
    <row r="495" spans="1:16" x14ac:dyDescent="0.3">
      <c r="A495" s="2">
        <f t="shared" si="28"/>
        <v>494</v>
      </c>
      <c r="B495" s="2" t="s">
        <v>29</v>
      </c>
      <c r="C495" s="2" t="s">
        <v>11</v>
      </c>
      <c r="D495" s="1">
        <v>0.317</v>
      </c>
      <c r="E495" s="1" t="str" cm="1">
        <f t="array" ref="E495">_xlfn.IFS(
D495&lt;20,"Light",
D495&lt;50,"Medium",
D495&lt;100,"Heavy",
D495&gt;=100,"Very Heavy")</f>
        <v>Light</v>
      </c>
      <c r="F495" s="2">
        <v>20</v>
      </c>
      <c r="G495" s="2" t="str" cm="1">
        <f t="array" ref="G495">_xlfn.IFS(
F495&lt;50,"Small",
F495&lt;100,"Medium",
F495&lt;150,"Large",
F495&gt;=150,"Very Large"
)</f>
        <v>Small</v>
      </c>
      <c r="H495" s="2" t="s">
        <v>33</v>
      </c>
      <c r="I495" s="2">
        <v>49.545912999999999</v>
      </c>
      <c r="J495" s="2">
        <v>11.081051</v>
      </c>
      <c r="K495" s="2" t="str">
        <f t="shared" si="29"/>
        <v>Available</v>
      </c>
      <c r="L495" s="2" t="s">
        <v>10</v>
      </c>
      <c r="M495" s="3">
        <v>45387</v>
      </c>
      <c r="N495" s="3" t="str">
        <f t="shared" si="30"/>
        <v>April</v>
      </c>
      <c r="O495" s="2" t="s">
        <v>12</v>
      </c>
      <c r="P495" t="str">
        <f t="shared" si="31"/>
        <v>OK</v>
      </c>
    </row>
    <row r="496" spans="1:16" x14ac:dyDescent="0.3">
      <c r="A496" s="2">
        <f t="shared" si="28"/>
        <v>495</v>
      </c>
      <c r="B496" s="2" t="s">
        <v>29</v>
      </c>
      <c r="C496" s="2" t="s">
        <v>11</v>
      </c>
      <c r="D496" s="1">
        <v>0.32700000000000001</v>
      </c>
      <c r="E496" s="1" t="str" cm="1">
        <f t="array" ref="E496">_xlfn.IFS(
D496&lt;20,"Light",
D496&lt;50,"Medium",
D496&lt;100,"Heavy",
D496&gt;=100,"Very Heavy")</f>
        <v>Light</v>
      </c>
      <c r="F496" s="2">
        <v>20</v>
      </c>
      <c r="G496" s="2" t="str" cm="1">
        <f t="array" ref="G496">_xlfn.IFS(
F496&lt;50,"Small",
F496&lt;100,"Medium",
F496&lt;150,"Large",
F496&gt;=150,"Very Large"
)</f>
        <v>Small</v>
      </c>
      <c r="H496" s="2" t="s">
        <v>32</v>
      </c>
      <c r="I496" s="2">
        <v>49.550427999999997</v>
      </c>
      <c r="J496" s="2">
        <v>11.077659000000001</v>
      </c>
      <c r="K496" s="2" t="str">
        <f t="shared" si="29"/>
        <v>Available</v>
      </c>
      <c r="L496" s="2" t="s">
        <v>10</v>
      </c>
      <c r="M496" s="3">
        <v>45387</v>
      </c>
      <c r="N496" s="3" t="str">
        <f t="shared" si="30"/>
        <v>April</v>
      </c>
      <c r="O496" s="2" t="s">
        <v>12</v>
      </c>
      <c r="P496" t="str">
        <f t="shared" si="31"/>
        <v>OK</v>
      </c>
    </row>
    <row r="497" spans="1:16" x14ac:dyDescent="0.3">
      <c r="A497" s="2">
        <f t="shared" si="28"/>
        <v>496</v>
      </c>
      <c r="B497" s="2" t="s">
        <v>29</v>
      </c>
      <c r="C497" s="2" t="s">
        <v>11</v>
      </c>
      <c r="D497" s="1">
        <v>0.255</v>
      </c>
      <c r="E497" s="1" t="str" cm="1">
        <f t="array" ref="E497">_xlfn.IFS(
D497&lt;20,"Light",
D497&lt;50,"Medium",
D497&lt;100,"Heavy",
D497&gt;=100,"Very Heavy")</f>
        <v>Light</v>
      </c>
      <c r="F497" s="2">
        <v>19</v>
      </c>
      <c r="G497" s="2" t="str" cm="1">
        <f t="array" ref="G497">_xlfn.IFS(
F497&lt;50,"Small",
F497&lt;100,"Medium",
F497&lt;150,"Large",
F497&gt;=150,"Very Large"
)</f>
        <v>Small</v>
      </c>
      <c r="H497" s="2" t="s">
        <v>33</v>
      </c>
      <c r="I497" s="2">
        <v>49.558869000000001</v>
      </c>
      <c r="J497" s="2">
        <v>11.076638000000001</v>
      </c>
      <c r="K497" s="2" t="str">
        <f t="shared" si="29"/>
        <v>Available</v>
      </c>
      <c r="L497" s="2" t="s">
        <v>10</v>
      </c>
      <c r="M497" s="3">
        <v>45387</v>
      </c>
      <c r="N497" s="3" t="str">
        <f t="shared" si="30"/>
        <v>April</v>
      </c>
      <c r="O497" s="2" t="s">
        <v>12</v>
      </c>
      <c r="P497" t="str">
        <f t="shared" si="31"/>
        <v>OK</v>
      </c>
    </row>
    <row r="498" spans="1:16" x14ac:dyDescent="0.3">
      <c r="A498" s="2">
        <f t="shared" si="28"/>
        <v>497</v>
      </c>
      <c r="B498" s="2" t="s">
        <v>30</v>
      </c>
      <c r="C498" s="2" t="s">
        <v>13</v>
      </c>
      <c r="D498" s="1">
        <v>0.8</v>
      </c>
      <c r="E498" s="1" t="str" cm="1">
        <f t="array" ref="E498">_xlfn.IFS(
D498&lt;20,"Light",
D498&lt;50,"Medium",
D498&lt;100,"Heavy",
D498&gt;=100,"Very Heavy")</f>
        <v>Light</v>
      </c>
      <c r="F498" s="2">
        <v>21</v>
      </c>
      <c r="G498" s="2" t="str" cm="1">
        <f t="array" ref="G498">_xlfn.IFS(
F498&lt;50,"Small",
F498&lt;100,"Medium",
F498&lt;150,"Large",
F498&gt;=150,"Very Large"
)</f>
        <v>Small</v>
      </c>
      <c r="H498" s="2" t="s">
        <v>33</v>
      </c>
      <c r="I498" s="2">
        <v>48.412407999999999</v>
      </c>
      <c r="J498" s="2">
        <v>18.869074000000001</v>
      </c>
      <c r="K498" s="2" t="str">
        <f t="shared" si="29"/>
        <v>Available</v>
      </c>
      <c r="L498" s="2" t="s">
        <v>10</v>
      </c>
      <c r="M498" s="3">
        <v>45387</v>
      </c>
      <c r="N498" s="3" t="str">
        <f t="shared" si="30"/>
        <v>April</v>
      </c>
      <c r="O498" s="2" t="s">
        <v>14</v>
      </c>
      <c r="P498" t="str">
        <f t="shared" si="31"/>
        <v>OK</v>
      </c>
    </row>
    <row r="499" spans="1:16" x14ac:dyDescent="0.3">
      <c r="A499" s="2">
        <f t="shared" si="28"/>
        <v>498</v>
      </c>
      <c r="B499" s="2" t="s">
        <v>28</v>
      </c>
      <c r="C499" s="2" t="s">
        <v>15</v>
      </c>
      <c r="D499" s="1">
        <v>15</v>
      </c>
      <c r="E499" s="1" t="str" cm="1">
        <f t="array" ref="E499">_xlfn.IFS(
D499&lt;20,"Light",
D499&lt;50,"Medium",
D499&lt;100,"Heavy",
D499&gt;=100,"Very Heavy")</f>
        <v>Light</v>
      </c>
      <c r="F499" s="2">
        <v>70</v>
      </c>
      <c r="G499" s="2" t="str" cm="1">
        <f t="array" ref="G499">_xlfn.IFS(
F499&lt;50,"Small",
F499&lt;100,"Medium",
F499&lt;150,"Large",
F499&gt;=150,"Very Large"
)</f>
        <v>Medium</v>
      </c>
      <c r="H499" s="2" t="s">
        <v>32</v>
      </c>
      <c r="I499" s="2">
        <v>50.883893999999998</v>
      </c>
      <c r="J499" s="2">
        <v>14.372363999999999</v>
      </c>
      <c r="K499" s="2" t="str">
        <f t="shared" si="29"/>
        <v>Available</v>
      </c>
      <c r="L499" s="2" t="s">
        <v>10</v>
      </c>
      <c r="M499" s="3">
        <v>45387</v>
      </c>
      <c r="N499" s="3" t="str">
        <f t="shared" si="30"/>
        <v>April</v>
      </c>
      <c r="O499" s="2" t="s">
        <v>14</v>
      </c>
      <c r="P499" t="str">
        <f t="shared" si="31"/>
        <v>OK</v>
      </c>
    </row>
    <row r="500" spans="1:16" x14ac:dyDescent="0.3">
      <c r="A500" s="2">
        <f t="shared" si="28"/>
        <v>499</v>
      </c>
      <c r="B500" s="2" t="s">
        <v>29</v>
      </c>
      <c r="C500" s="2" t="s">
        <v>13</v>
      </c>
      <c r="D500" s="1">
        <v>0.3</v>
      </c>
      <c r="E500" s="1" t="str" cm="1">
        <f t="array" ref="E500">_xlfn.IFS(
D500&lt;20,"Light",
D500&lt;50,"Medium",
D500&lt;100,"Heavy",
D500&gt;=100,"Very Heavy")</f>
        <v>Light</v>
      </c>
      <c r="F500" s="2">
        <v>19</v>
      </c>
      <c r="G500" s="2" t="str" cm="1">
        <f t="array" ref="G500">_xlfn.IFS(
F500&lt;50,"Small",
F500&lt;100,"Medium",
F500&lt;150,"Large",
F500&gt;=150,"Very Large"
)</f>
        <v>Small</v>
      </c>
      <c r="H500" s="2" t="s">
        <v>33</v>
      </c>
      <c r="I500" s="2">
        <v>48.229837000000003</v>
      </c>
      <c r="J500" s="2">
        <v>17.089217999999999</v>
      </c>
      <c r="K500" s="2" t="str">
        <f t="shared" si="29"/>
        <v>Available</v>
      </c>
      <c r="L500" s="2" t="s">
        <v>10</v>
      </c>
      <c r="M500" s="3">
        <v>45387</v>
      </c>
      <c r="N500" s="3" t="str">
        <f t="shared" si="30"/>
        <v>April</v>
      </c>
      <c r="O500" s="2" t="s">
        <v>14</v>
      </c>
      <c r="P500" t="str">
        <f t="shared" si="31"/>
        <v>OK</v>
      </c>
    </row>
    <row r="501" spans="1:16" x14ac:dyDescent="0.3">
      <c r="A501" s="2">
        <f t="shared" si="28"/>
        <v>500</v>
      </c>
      <c r="B501" s="2" t="s">
        <v>27</v>
      </c>
      <c r="C501" s="2" t="s">
        <v>4</v>
      </c>
      <c r="D501" s="1">
        <v>589</v>
      </c>
      <c r="E501" s="1" t="str" cm="1">
        <f t="array" ref="E501">_xlfn.IFS(
D501&lt;20,"Light",
D501&lt;50,"Medium",
D501&lt;100,"Heavy",
D501&gt;=100,"Very Heavy")</f>
        <v>Very Heavy</v>
      </c>
      <c r="F501" s="2">
        <v>279</v>
      </c>
      <c r="G501" s="2" t="str" cm="1">
        <f t="array" ref="G501">_xlfn.IFS(
F501&lt;50,"Small",
F501&lt;100,"Medium",
F501&lt;150,"Large",
F501&gt;=150,"Very Large"
)</f>
        <v>Very Large</v>
      </c>
      <c r="H501" s="2" t="s">
        <v>33</v>
      </c>
      <c r="I501" s="2">
        <v>52.808703999999999</v>
      </c>
      <c r="J501" s="2">
        <v>23.705504000000001</v>
      </c>
      <c r="K501" s="2" t="str">
        <f t="shared" si="29"/>
        <v>Available</v>
      </c>
      <c r="L501" s="2" t="s">
        <v>10</v>
      </c>
      <c r="M501" s="3">
        <v>45388</v>
      </c>
      <c r="N501" s="3" t="str">
        <f t="shared" si="30"/>
        <v>April</v>
      </c>
      <c r="O501" s="2" t="s">
        <v>6</v>
      </c>
      <c r="P501" t="str">
        <f t="shared" si="31"/>
        <v>OK</v>
      </c>
    </row>
    <row r="502" spans="1:16" x14ac:dyDescent="0.3">
      <c r="A502" s="2">
        <f t="shared" si="28"/>
        <v>501</v>
      </c>
      <c r="B502" s="2" t="s">
        <v>30</v>
      </c>
      <c r="C502" s="2" t="s">
        <v>7</v>
      </c>
      <c r="D502" s="1">
        <v>0.7</v>
      </c>
      <c r="E502" s="1" t="str" cm="1">
        <f t="array" ref="E502">_xlfn.IFS(
D502&lt;20,"Light",
D502&lt;50,"Medium",
D502&lt;100,"Heavy",
D502&gt;=100,"Very Heavy")</f>
        <v>Light</v>
      </c>
      <c r="F502" s="2">
        <v>16</v>
      </c>
      <c r="G502" s="2" t="str" cm="1">
        <f t="array" ref="G502">_xlfn.IFS(
F502&lt;50,"Small",
F502&lt;100,"Medium",
F502&lt;150,"Large",
F502&gt;=150,"Very Large"
)</f>
        <v>Small</v>
      </c>
      <c r="H502" s="2" t="s">
        <v>33</v>
      </c>
      <c r="I502" s="2">
        <v>47.510230999999997</v>
      </c>
      <c r="J502" s="2">
        <v>18.940041999999998</v>
      </c>
      <c r="K502" s="2" t="str">
        <f t="shared" si="29"/>
        <v>Available</v>
      </c>
      <c r="L502" s="2" t="s">
        <v>10</v>
      </c>
      <c r="M502" s="3">
        <v>45388</v>
      </c>
      <c r="N502" s="3" t="str">
        <f t="shared" si="30"/>
        <v>April</v>
      </c>
      <c r="O502" s="2" t="s">
        <v>6</v>
      </c>
      <c r="P502" t="str">
        <f t="shared" si="31"/>
        <v>OK</v>
      </c>
    </row>
    <row r="503" spans="1:16" x14ac:dyDescent="0.3">
      <c r="A503" s="2">
        <f t="shared" si="28"/>
        <v>502</v>
      </c>
      <c r="B503" s="2" t="s">
        <v>30</v>
      </c>
      <c r="C503" s="2" t="s">
        <v>7</v>
      </c>
      <c r="D503" s="1">
        <v>0.8</v>
      </c>
      <c r="E503" s="1" t="str" cm="1">
        <f t="array" ref="E503">_xlfn.IFS(
D503&lt;20,"Light",
D503&lt;50,"Medium",
D503&lt;100,"Heavy",
D503&gt;=100,"Very Heavy")</f>
        <v>Light</v>
      </c>
      <c r="F503" s="2">
        <v>14</v>
      </c>
      <c r="G503" s="2" t="str" cm="1">
        <f t="array" ref="G503">_xlfn.IFS(
F503&lt;50,"Small",
F503&lt;100,"Medium",
F503&lt;150,"Large",
F503&gt;=150,"Very Large"
)</f>
        <v>Small</v>
      </c>
      <c r="H503" s="2" t="s">
        <v>33</v>
      </c>
      <c r="I503" s="2">
        <v>47.509073000000001</v>
      </c>
      <c r="J503" s="2">
        <v>18.946838</v>
      </c>
      <c r="K503" s="2" t="str">
        <f t="shared" si="29"/>
        <v>Available</v>
      </c>
      <c r="L503" s="2" t="s">
        <v>10</v>
      </c>
      <c r="M503" s="3">
        <v>45388</v>
      </c>
      <c r="N503" s="3" t="str">
        <f t="shared" si="30"/>
        <v>April</v>
      </c>
      <c r="O503" s="2" t="s">
        <v>6</v>
      </c>
      <c r="P503" t="str">
        <f t="shared" si="31"/>
        <v>OK</v>
      </c>
    </row>
    <row r="504" spans="1:16" x14ac:dyDescent="0.3">
      <c r="A504" s="2">
        <f t="shared" si="28"/>
        <v>503</v>
      </c>
      <c r="B504" s="2" t="s">
        <v>29</v>
      </c>
      <c r="C504" s="2" t="s">
        <v>4</v>
      </c>
      <c r="D504" s="1">
        <v>0.34799999999999998</v>
      </c>
      <c r="E504" s="1" t="str" cm="1">
        <f t="array" ref="E504">_xlfn.IFS(
D504&lt;20,"Light",
D504&lt;50,"Medium",
D504&lt;100,"Heavy",
D504&gt;=100,"Very Heavy")</f>
        <v>Light</v>
      </c>
      <c r="F504" s="2">
        <v>23</v>
      </c>
      <c r="G504" s="2" t="str" cm="1">
        <f t="array" ref="G504">_xlfn.IFS(
F504&lt;50,"Small",
F504&lt;100,"Medium",
F504&lt;150,"Large",
F504&gt;=150,"Very Large"
)</f>
        <v>Small</v>
      </c>
      <c r="H504" s="2" t="s">
        <v>32</v>
      </c>
      <c r="I504" s="2">
        <v>50.041252</v>
      </c>
      <c r="J504" s="2">
        <v>19.950033000000001</v>
      </c>
      <c r="K504" s="2" t="str">
        <f t="shared" si="29"/>
        <v>Available</v>
      </c>
      <c r="L504" s="2" t="s">
        <v>10</v>
      </c>
      <c r="M504" s="3">
        <v>45388</v>
      </c>
      <c r="N504" s="3" t="str">
        <f t="shared" si="30"/>
        <v>April</v>
      </c>
      <c r="O504" s="2" t="s">
        <v>6</v>
      </c>
      <c r="P504" t="str">
        <f t="shared" si="31"/>
        <v>OK</v>
      </c>
    </row>
    <row r="505" spans="1:16" x14ac:dyDescent="0.3">
      <c r="A505" s="2">
        <f t="shared" si="28"/>
        <v>504</v>
      </c>
      <c r="B505" s="2" t="s">
        <v>29</v>
      </c>
      <c r="C505" s="2" t="s">
        <v>17</v>
      </c>
      <c r="D505" s="1">
        <v>0.29399999999999998</v>
      </c>
      <c r="E505" s="1" t="str" cm="1">
        <f t="array" ref="E505">_xlfn.IFS(
D505&lt;20,"Light",
D505&lt;50,"Medium",
D505&lt;100,"Heavy",
D505&gt;=100,"Very Heavy")</f>
        <v>Light</v>
      </c>
      <c r="F505" s="2">
        <v>22</v>
      </c>
      <c r="G505" s="2" t="str" cm="1">
        <f t="array" ref="G505">_xlfn.IFS(
F505&lt;50,"Small",
F505&lt;100,"Medium",
F505&lt;150,"Large",
F505&gt;=150,"Very Large"
)</f>
        <v>Small</v>
      </c>
      <c r="H505" s="2" t="s">
        <v>32</v>
      </c>
      <c r="I505" s="2">
        <v>47.855007000000001</v>
      </c>
      <c r="J505" s="2">
        <v>15.076539</v>
      </c>
      <c r="K505" s="2" t="str">
        <f t="shared" si="29"/>
        <v>Available</v>
      </c>
      <c r="L505" s="2" t="s">
        <v>10</v>
      </c>
      <c r="M505" s="3">
        <v>45388</v>
      </c>
      <c r="N505" s="3" t="str">
        <f t="shared" si="30"/>
        <v>April</v>
      </c>
      <c r="O505" s="2" t="s">
        <v>12</v>
      </c>
      <c r="P505" t="str">
        <f t="shared" si="31"/>
        <v>OK</v>
      </c>
    </row>
    <row r="506" spans="1:16" x14ac:dyDescent="0.3">
      <c r="A506" s="2">
        <f t="shared" si="28"/>
        <v>505</v>
      </c>
      <c r="B506" s="2" t="s">
        <v>29</v>
      </c>
      <c r="C506" s="2" t="s">
        <v>11</v>
      </c>
      <c r="D506" s="1">
        <v>0.29899999999999999</v>
      </c>
      <c r="E506" s="1" t="str" cm="1">
        <f t="array" ref="E506">_xlfn.IFS(
D506&lt;20,"Light",
D506&lt;50,"Medium",
D506&lt;100,"Heavy",
D506&gt;=100,"Very Heavy")</f>
        <v>Light</v>
      </c>
      <c r="F506" s="2">
        <v>19</v>
      </c>
      <c r="G506" s="2" t="str" cm="1">
        <f t="array" ref="G506">_xlfn.IFS(
F506&lt;50,"Small",
F506&lt;100,"Medium",
F506&lt;150,"Large",
F506&gt;=150,"Very Large"
)</f>
        <v>Small</v>
      </c>
      <c r="H506" s="2" t="s">
        <v>32</v>
      </c>
      <c r="K506" s="2" t="str">
        <f t="shared" si="29"/>
        <v>Missing Location</v>
      </c>
      <c r="L506" s="2" t="s">
        <v>10</v>
      </c>
      <c r="M506" s="3">
        <v>45388</v>
      </c>
      <c r="N506" s="3" t="str">
        <f t="shared" si="30"/>
        <v>April</v>
      </c>
      <c r="O506" s="2" t="s">
        <v>12</v>
      </c>
      <c r="P506" t="str">
        <f t="shared" si="31"/>
        <v>Needs Review</v>
      </c>
    </row>
    <row r="507" spans="1:16" x14ac:dyDescent="0.3">
      <c r="A507" s="2">
        <f t="shared" si="28"/>
        <v>506</v>
      </c>
      <c r="B507" s="2" t="s">
        <v>29</v>
      </c>
      <c r="C507" s="2" t="s">
        <v>11</v>
      </c>
      <c r="D507" s="1">
        <v>0.314</v>
      </c>
      <c r="E507" s="1" t="str" cm="1">
        <f t="array" ref="E507">_xlfn.IFS(
D507&lt;20,"Light",
D507&lt;50,"Medium",
D507&lt;100,"Heavy",
D507&gt;=100,"Very Heavy")</f>
        <v>Light</v>
      </c>
      <c r="F507" s="2">
        <v>19</v>
      </c>
      <c r="G507" s="2" t="str" cm="1">
        <f t="array" ref="G507">_xlfn.IFS(
F507&lt;50,"Small",
F507&lt;100,"Medium",
F507&lt;150,"Large",
F507&gt;=150,"Very Large"
)</f>
        <v>Small</v>
      </c>
      <c r="H507" s="2" t="s">
        <v>33</v>
      </c>
      <c r="K507" s="2" t="str">
        <f t="shared" si="29"/>
        <v>Missing Location</v>
      </c>
      <c r="L507" s="2" t="s">
        <v>10</v>
      </c>
      <c r="M507" s="3">
        <v>45388</v>
      </c>
      <c r="N507" s="3" t="str">
        <f t="shared" si="30"/>
        <v>April</v>
      </c>
      <c r="O507" s="2" t="s">
        <v>12</v>
      </c>
      <c r="P507" t="str">
        <f t="shared" si="31"/>
        <v>Needs Review</v>
      </c>
    </row>
    <row r="508" spans="1:16" x14ac:dyDescent="0.3">
      <c r="A508" s="2">
        <f t="shared" si="28"/>
        <v>507</v>
      </c>
      <c r="B508" s="2" t="s">
        <v>29</v>
      </c>
      <c r="C508" s="2" t="s">
        <v>11</v>
      </c>
      <c r="D508" s="1">
        <v>0.29699999999999999</v>
      </c>
      <c r="E508" s="1" t="str" cm="1">
        <f t="array" ref="E508">_xlfn.IFS(
D508&lt;20,"Light",
D508&lt;50,"Medium",
D508&lt;100,"Heavy",
D508&gt;=100,"Very Heavy")</f>
        <v>Light</v>
      </c>
      <c r="F508" s="2">
        <v>20</v>
      </c>
      <c r="G508" s="2" t="str" cm="1">
        <f t="array" ref="G508">_xlfn.IFS(
F508&lt;50,"Small",
F508&lt;100,"Medium",
F508&lt;150,"Large",
F508&gt;=150,"Very Large"
)</f>
        <v>Small</v>
      </c>
      <c r="H508" s="2" t="s">
        <v>32</v>
      </c>
      <c r="K508" s="2" t="str">
        <f t="shared" si="29"/>
        <v>Missing Location</v>
      </c>
      <c r="L508" s="2" t="s">
        <v>10</v>
      </c>
      <c r="M508" s="3">
        <v>45388</v>
      </c>
      <c r="N508" s="3" t="str">
        <f t="shared" si="30"/>
        <v>April</v>
      </c>
      <c r="O508" s="2" t="s">
        <v>12</v>
      </c>
      <c r="P508" t="str">
        <f t="shared" si="31"/>
        <v>Needs Review</v>
      </c>
    </row>
    <row r="509" spans="1:16" x14ac:dyDescent="0.3">
      <c r="A509" s="2">
        <f t="shared" si="28"/>
        <v>508</v>
      </c>
      <c r="B509" s="2" t="s">
        <v>29</v>
      </c>
      <c r="C509" s="2" t="s">
        <v>11</v>
      </c>
      <c r="D509" s="1">
        <v>0.29799999999999999</v>
      </c>
      <c r="E509" s="1" t="str" cm="1">
        <f t="array" ref="E509">_xlfn.IFS(
D509&lt;20,"Light",
D509&lt;50,"Medium",
D509&lt;100,"Heavy",
D509&gt;=100,"Very Heavy")</f>
        <v>Light</v>
      </c>
      <c r="F509" s="2">
        <v>21</v>
      </c>
      <c r="G509" s="2" t="str" cm="1">
        <f t="array" ref="G509">_xlfn.IFS(
F509&lt;50,"Small",
F509&lt;100,"Medium",
F509&lt;150,"Large",
F509&gt;=150,"Very Large"
)</f>
        <v>Small</v>
      </c>
      <c r="H509" s="2" t="s">
        <v>32</v>
      </c>
      <c r="K509" s="2" t="str">
        <f t="shared" si="29"/>
        <v>Missing Location</v>
      </c>
      <c r="L509" s="2" t="s">
        <v>10</v>
      </c>
      <c r="M509" s="3">
        <v>45388</v>
      </c>
      <c r="N509" s="3" t="str">
        <f t="shared" si="30"/>
        <v>April</v>
      </c>
      <c r="O509" s="2" t="s">
        <v>12</v>
      </c>
      <c r="P509" t="str">
        <f t="shared" si="31"/>
        <v>Needs Review</v>
      </c>
    </row>
    <row r="510" spans="1:16" x14ac:dyDescent="0.3">
      <c r="A510" s="2">
        <f t="shared" si="28"/>
        <v>509</v>
      </c>
      <c r="B510" s="2" t="s">
        <v>29</v>
      </c>
      <c r="C510" s="2" t="s">
        <v>11</v>
      </c>
      <c r="D510" s="1">
        <v>0.30099999999999999</v>
      </c>
      <c r="E510" s="1" t="str" cm="1">
        <f t="array" ref="E510">_xlfn.IFS(
D510&lt;20,"Light",
D510&lt;50,"Medium",
D510&lt;100,"Heavy",
D510&gt;=100,"Very Heavy")</f>
        <v>Light</v>
      </c>
      <c r="F510" s="2">
        <v>19</v>
      </c>
      <c r="G510" s="2" t="str" cm="1">
        <f t="array" ref="G510">_xlfn.IFS(
F510&lt;50,"Small",
F510&lt;100,"Medium",
F510&lt;150,"Large",
F510&gt;=150,"Very Large"
)</f>
        <v>Small</v>
      </c>
      <c r="H510" s="2" t="s">
        <v>32</v>
      </c>
      <c r="K510" s="2" t="str">
        <f t="shared" si="29"/>
        <v>Missing Location</v>
      </c>
      <c r="L510" s="2" t="s">
        <v>10</v>
      </c>
      <c r="M510" s="3">
        <v>45388</v>
      </c>
      <c r="N510" s="3" t="str">
        <f t="shared" si="30"/>
        <v>April</v>
      </c>
      <c r="O510" s="2" t="s">
        <v>12</v>
      </c>
      <c r="P510" t="str">
        <f t="shared" si="31"/>
        <v>Needs Review</v>
      </c>
    </row>
    <row r="511" spans="1:16" x14ac:dyDescent="0.3">
      <c r="A511" s="2">
        <f t="shared" si="28"/>
        <v>510</v>
      </c>
      <c r="B511" s="2" t="s">
        <v>29</v>
      </c>
      <c r="C511" s="2" t="s">
        <v>11</v>
      </c>
      <c r="D511" s="1">
        <v>0.26700000000000002</v>
      </c>
      <c r="E511" s="1" t="str" cm="1">
        <f t="array" ref="E511">_xlfn.IFS(
D511&lt;20,"Light",
D511&lt;50,"Medium",
D511&lt;100,"Heavy",
D511&gt;=100,"Very Heavy")</f>
        <v>Light</v>
      </c>
      <c r="F511" s="2">
        <v>20</v>
      </c>
      <c r="G511" s="2" t="str" cm="1">
        <f t="array" ref="G511">_xlfn.IFS(
F511&lt;50,"Small",
F511&lt;100,"Medium",
F511&lt;150,"Large",
F511&gt;=150,"Very Large"
)</f>
        <v>Small</v>
      </c>
      <c r="H511" s="2" t="s">
        <v>33</v>
      </c>
      <c r="K511" s="2" t="str">
        <f t="shared" si="29"/>
        <v>Missing Location</v>
      </c>
      <c r="L511" s="2" t="s">
        <v>10</v>
      </c>
      <c r="M511" s="3">
        <v>45388</v>
      </c>
      <c r="N511" s="3" t="str">
        <f t="shared" si="30"/>
        <v>April</v>
      </c>
      <c r="O511" s="2" t="s">
        <v>12</v>
      </c>
      <c r="P511" t="str">
        <f t="shared" si="31"/>
        <v>Needs Review</v>
      </c>
    </row>
    <row r="512" spans="1:16" x14ac:dyDescent="0.3">
      <c r="A512" s="2">
        <f t="shared" si="28"/>
        <v>511</v>
      </c>
      <c r="B512" s="2" t="s">
        <v>29</v>
      </c>
      <c r="C512" s="2" t="s">
        <v>11</v>
      </c>
      <c r="D512" s="1">
        <v>0.315</v>
      </c>
      <c r="E512" s="1" t="str" cm="1">
        <f t="array" ref="E512">_xlfn.IFS(
D512&lt;20,"Light",
D512&lt;50,"Medium",
D512&lt;100,"Heavy",
D512&gt;=100,"Very Heavy")</f>
        <v>Light</v>
      </c>
      <c r="F512" s="2">
        <v>21</v>
      </c>
      <c r="G512" s="2" t="str" cm="1">
        <f t="array" ref="G512">_xlfn.IFS(
F512&lt;50,"Small",
F512&lt;100,"Medium",
F512&lt;150,"Large",
F512&gt;=150,"Very Large"
)</f>
        <v>Small</v>
      </c>
      <c r="H512" s="2" t="s">
        <v>32</v>
      </c>
      <c r="K512" s="2" t="str">
        <f t="shared" si="29"/>
        <v>Missing Location</v>
      </c>
      <c r="L512" s="2" t="s">
        <v>10</v>
      </c>
      <c r="M512" s="3">
        <v>45388</v>
      </c>
      <c r="N512" s="3" t="str">
        <f t="shared" si="30"/>
        <v>April</v>
      </c>
      <c r="O512" s="2" t="s">
        <v>12</v>
      </c>
      <c r="P512" t="str">
        <f t="shared" si="31"/>
        <v>Needs Review</v>
      </c>
    </row>
    <row r="513" spans="1:16" x14ac:dyDescent="0.3">
      <c r="A513" s="2">
        <f t="shared" si="28"/>
        <v>512</v>
      </c>
      <c r="B513" s="2" t="s">
        <v>29</v>
      </c>
      <c r="C513" s="2" t="s">
        <v>11</v>
      </c>
      <c r="D513" s="1">
        <v>0.3</v>
      </c>
      <c r="E513" s="1" t="str" cm="1">
        <f t="array" ref="E513">_xlfn.IFS(
D513&lt;20,"Light",
D513&lt;50,"Medium",
D513&lt;100,"Heavy",
D513&gt;=100,"Very Heavy")</f>
        <v>Light</v>
      </c>
      <c r="F513" s="2">
        <v>21</v>
      </c>
      <c r="G513" s="2" t="str" cm="1">
        <f t="array" ref="G513">_xlfn.IFS(
F513&lt;50,"Small",
F513&lt;100,"Medium",
F513&lt;150,"Large",
F513&gt;=150,"Very Large"
)</f>
        <v>Small</v>
      </c>
      <c r="H513" s="2" t="s">
        <v>33</v>
      </c>
      <c r="K513" s="2" t="str">
        <f t="shared" si="29"/>
        <v>Missing Location</v>
      </c>
      <c r="L513" s="2" t="s">
        <v>10</v>
      </c>
      <c r="M513" s="3">
        <v>45388</v>
      </c>
      <c r="N513" s="3" t="str">
        <f t="shared" si="30"/>
        <v>April</v>
      </c>
      <c r="O513" s="2" t="s">
        <v>12</v>
      </c>
      <c r="P513" t="str">
        <f t="shared" si="31"/>
        <v>Needs Review</v>
      </c>
    </row>
    <row r="514" spans="1:16" x14ac:dyDescent="0.3">
      <c r="A514" s="2">
        <f t="shared" si="28"/>
        <v>513</v>
      </c>
      <c r="B514" s="2" t="s">
        <v>29</v>
      </c>
      <c r="C514" s="2" t="s">
        <v>11</v>
      </c>
      <c r="D514" s="1">
        <v>0.3</v>
      </c>
      <c r="E514" s="1" t="str" cm="1">
        <f t="array" ref="E514">_xlfn.IFS(
D514&lt;20,"Light",
D514&lt;50,"Medium",
D514&lt;100,"Heavy",
D514&gt;=100,"Very Heavy")</f>
        <v>Light</v>
      </c>
      <c r="F514" s="2">
        <v>21</v>
      </c>
      <c r="G514" s="2" t="str" cm="1">
        <f t="array" ref="G514">_xlfn.IFS(
F514&lt;50,"Small",
F514&lt;100,"Medium",
F514&lt;150,"Large",
F514&gt;=150,"Very Large"
)</f>
        <v>Small</v>
      </c>
      <c r="H514" s="2" t="s">
        <v>32</v>
      </c>
      <c r="K514" s="2" t="str">
        <f t="shared" si="29"/>
        <v>Missing Location</v>
      </c>
      <c r="L514" s="2" t="s">
        <v>10</v>
      </c>
      <c r="M514" s="3">
        <v>45388</v>
      </c>
      <c r="N514" s="3" t="str">
        <f t="shared" si="30"/>
        <v>April</v>
      </c>
      <c r="O514" s="2" t="s">
        <v>12</v>
      </c>
      <c r="P514" t="str">
        <f t="shared" si="31"/>
        <v>Needs Review</v>
      </c>
    </row>
    <row r="515" spans="1:16" x14ac:dyDescent="0.3">
      <c r="A515" s="2">
        <f t="shared" ref="A515:A578" si="32">ROW()-1</f>
        <v>514</v>
      </c>
      <c r="B515" s="2" t="s">
        <v>29</v>
      </c>
      <c r="C515" s="2" t="s">
        <v>11</v>
      </c>
      <c r="D515" s="1">
        <v>0.26400000000000001</v>
      </c>
      <c r="E515" s="1" t="str" cm="1">
        <f t="array" ref="E515">_xlfn.IFS(
D515&lt;20,"Light",
D515&lt;50,"Medium",
D515&lt;100,"Heavy",
D515&gt;=100,"Very Heavy")</f>
        <v>Light</v>
      </c>
      <c r="F515" s="2">
        <v>22</v>
      </c>
      <c r="G515" s="2" t="str" cm="1">
        <f t="array" ref="G515">_xlfn.IFS(
F515&lt;50,"Small",
F515&lt;100,"Medium",
F515&lt;150,"Large",
F515&gt;=150,"Very Large"
)</f>
        <v>Small</v>
      </c>
      <c r="H515" s="2" t="s">
        <v>33</v>
      </c>
      <c r="K515" s="2" t="str">
        <f t="shared" ref="K515:K578" si="33">IF(OR(I515="",J515=""),"Missing Location","Available")</f>
        <v>Missing Location</v>
      </c>
      <c r="L515" s="2" t="s">
        <v>10</v>
      </c>
      <c r="M515" s="3">
        <v>45388</v>
      </c>
      <c r="N515" s="3" t="str">
        <f t="shared" ref="N515:N578" si="34">TEXT(M515,"mmmm")</f>
        <v>April</v>
      </c>
      <c r="O515" s="2" t="s">
        <v>12</v>
      </c>
      <c r="P515" t="str">
        <f t="shared" ref="P515:P578" si="35">IF(OR(B515="",C515="",D515="",E515="",J515=""),"Needs Review","OK")</f>
        <v>Needs Review</v>
      </c>
    </row>
    <row r="516" spans="1:16" x14ac:dyDescent="0.3">
      <c r="A516" s="2">
        <f t="shared" si="32"/>
        <v>515</v>
      </c>
      <c r="B516" s="2" t="s">
        <v>29</v>
      </c>
      <c r="C516" s="2" t="s">
        <v>11</v>
      </c>
      <c r="D516" s="1">
        <v>0.251</v>
      </c>
      <c r="E516" s="1" t="str" cm="1">
        <f t="array" ref="E516">_xlfn.IFS(
D516&lt;20,"Light",
D516&lt;50,"Medium",
D516&lt;100,"Heavy",
D516&gt;=100,"Very Heavy")</f>
        <v>Light</v>
      </c>
      <c r="F516" s="2">
        <v>21</v>
      </c>
      <c r="G516" s="2" t="str" cm="1">
        <f t="array" ref="G516">_xlfn.IFS(
F516&lt;50,"Small",
F516&lt;100,"Medium",
F516&lt;150,"Large",
F516&gt;=150,"Very Large"
)</f>
        <v>Small</v>
      </c>
      <c r="H516" s="2" t="s">
        <v>32</v>
      </c>
      <c r="K516" s="2" t="str">
        <f t="shared" si="33"/>
        <v>Missing Location</v>
      </c>
      <c r="L516" s="2" t="s">
        <v>10</v>
      </c>
      <c r="M516" s="3">
        <v>45388</v>
      </c>
      <c r="N516" s="3" t="str">
        <f t="shared" si="34"/>
        <v>April</v>
      </c>
      <c r="O516" s="2" t="s">
        <v>12</v>
      </c>
      <c r="P516" t="str">
        <f t="shared" si="35"/>
        <v>Needs Review</v>
      </c>
    </row>
    <row r="517" spans="1:16" x14ac:dyDescent="0.3">
      <c r="A517" s="2">
        <f t="shared" si="32"/>
        <v>516</v>
      </c>
      <c r="B517" s="2" t="s">
        <v>29</v>
      </c>
      <c r="C517" s="2" t="s">
        <v>11</v>
      </c>
      <c r="D517" s="1">
        <v>0.30199999999999999</v>
      </c>
      <c r="E517" s="1" t="str" cm="1">
        <f t="array" ref="E517">_xlfn.IFS(
D517&lt;20,"Light",
D517&lt;50,"Medium",
D517&lt;100,"Heavy",
D517&gt;=100,"Very Heavy")</f>
        <v>Light</v>
      </c>
      <c r="F517" s="2">
        <v>22</v>
      </c>
      <c r="G517" s="2" t="str" cm="1">
        <f t="array" ref="G517">_xlfn.IFS(
F517&lt;50,"Small",
F517&lt;100,"Medium",
F517&lt;150,"Large",
F517&gt;=150,"Very Large"
)</f>
        <v>Small</v>
      </c>
      <c r="H517" s="2" t="s">
        <v>33</v>
      </c>
      <c r="K517" s="2" t="str">
        <f t="shared" si="33"/>
        <v>Missing Location</v>
      </c>
      <c r="L517" s="2" t="s">
        <v>10</v>
      </c>
      <c r="M517" s="3">
        <v>45388</v>
      </c>
      <c r="N517" s="3" t="str">
        <f t="shared" si="34"/>
        <v>April</v>
      </c>
      <c r="O517" s="2" t="s">
        <v>12</v>
      </c>
      <c r="P517" t="str">
        <f t="shared" si="35"/>
        <v>Needs Review</v>
      </c>
    </row>
    <row r="518" spans="1:16" x14ac:dyDescent="0.3">
      <c r="A518" s="2">
        <f t="shared" si="32"/>
        <v>517</v>
      </c>
      <c r="B518" s="2" t="s">
        <v>29</v>
      </c>
      <c r="C518" s="2" t="s">
        <v>11</v>
      </c>
      <c r="D518" s="1">
        <v>0.26200000000000001</v>
      </c>
      <c r="E518" s="1" t="str" cm="1">
        <f t="array" ref="E518">_xlfn.IFS(
D518&lt;20,"Light",
D518&lt;50,"Medium",
D518&lt;100,"Heavy",
D518&gt;=100,"Very Heavy")</f>
        <v>Light</v>
      </c>
      <c r="F518" s="2">
        <v>22</v>
      </c>
      <c r="G518" s="2" t="str" cm="1">
        <f t="array" ref="G518">_xlfn.IFS(
F518&lt;50,"Small",
F518&lt;100,"Medium",
F518&lt;150,"Large",
F518&gt;=150,"Very Large"
)</f>
        <v>Small</v>
      </c>
      <c r="H518" s="2" t="s">
        <v>33</v>
      </c>
      <c r="K518" s="2" t="str">
        <f t="shared" si="33"/>
        <v>Missing Location</v>
      </c>
      <c r="L518" s="2" t="s">
        <v>10</v>
      </c>
      <c r="M518" s="3">
        <v>45388</v>
      </c>
      <c r="N518" s="3" t="str">
        <f t="shared" si="34"/>
        <v>April</v>
      </c>
      <c r="O518" s="2" t="s">
        <v>12</v>
      </c>
      <c r="P518" t="str">
        <f t="shared" si="35"/>
        <v>Needs Review</v>
      </c>
    </row>
    <row r="519" spans="1:16" x14ac:dyDescent="0.3">
      <c r="A519" s="2">
        <f t="shared" si="32"/>
        <v>518</v>
      </c>
      <c r="B519" s="2" t="s">
        <v>29</v>
      </c>
      <c r="C519" s="2" t="s">
        <v>11</v>
      </c>
      <c r="D519" s="1">
        <v>0.30099999999999999</v>
      </c>
      <c r="E519" s="1" t="str" cm="1">
        <f t="array" ref="E519">_xlfn.IFS(
D519&lt;20,"Light",
D519&lt;50,"Medium",
D519&lt;100,"Heavy",
D519&gt;=100,"Very Heavy")</f>
        <v>Light</v>
      </c>
      <c r="F519" s="2">
        <v>20</v>
      </c>
      <c r="G519" s="2" t="str" cm="1">
        <f t="array" ref="G519">_xlfn.IFS(
F519&lt;50,"Small",
F519&lt;100,"Medium",
F519&lt;150,"Large",
F519&gt;=150,"Very Large"
)</f>
        <v>Small</v>
      </c>
      <c r="H519" s="2" t="s">
        <v>32</v>
      </c>
      <c r="K519" s="2" t="str">
        <f t="shared" si="33"/>
        <v>Missing Location</v>
      </c>
      <c r="L519" s="2" t="s">
        <v>10</v>
      </c>
      <c r="M519" s="3">
        <v>45388</v>
      </c>
      <c r="N519" s="3" t="str">
        <f t="shared" si="34"/>
        <v>April</v>
      </c>
      <c r="O519" s="2" t="s">
        <v>12</v>
      </c>
      <c r="P519" t="str">
        <f t="shared" si="35"/>
        <v>Needs Review</v>
      </c>
    </row>
    <row r="520" spans="1:16" x14ac:dyDescent="0.3">
      <c r="A520" s="2">
        <f t="shared" si="32"/>
        <v>519</v>
      </c>
      <c r="B520" s="2" t="s">
        <v>29</v>
      </c>
      <c r="C520" s="2" t="s">
        <v>11</v>
      </c>
      <c r="D520" s="1">
        <v>0.24299999999999999</v>
      </c>
      <c r="E520" s="1" t="str" cm="1">
        <f t="array" ref="E520">_xlfn.IFS(
D520&lt;20,"Light",
D520&lt;50,"Medium",
D520&lt;100,"Heavy",
D520&gt;=100,"Very Heavy")</f>
        <v>Light</v>
      </c>
      <c r="F520" s="2">
        <v>19</v>
      </c>
      <c r="G520" s="2" t="str" cm="1">
        <f t="array" ref="G520">_xlfn.IFS(
F520&lt;50,"Small",
F520&lt;100,"Medium",
F520&lt;150,"Large",
F520&gt;=150,"Very Large"
)</f>
        <v>Small</v>
      </c>
      <c r="H520" s="2" t="s">
        <v>32</v>
      </c>
      <c r="K520" s="2" t="str">
        <f t="shared" si="33"/>
        <v>Missing Location</v>
      </c>
      <c r="L520" s="2" t="s">
        <v>10</v>
      </c>
      <c r="M520" s="3">
        <v>45388</v>
      </c>
      <c r="N520" s="3" t="str">
        <f t="shared" si="34"/>
        <v>April</v>
      </c>
      <c r="O520" s="2" t="s">
        <v>12</v>
      </c>
      <c r="P520" t="str">
        <f t="shared" si="35"/>
        <v>Needs Review</v>
      </c>
    </row>
    <row r="521" spans="1:16" x14ac:dyDescent="0.3">
      <c r="A521" s="2">
        <f t="shared" si="32"/>
        <v>520</v>
      </c>
      <c r="B521" s="2" t="s">
        <v>29</v>
      </c>
      <c r="C521" s="2" t="s">
        <v>11</v>
      </c>
      <c r="D521" s="1">
        <v>0.314</v>
      </c>
      <c r="E521" s="1" t="str" cm="1">
        <f t="array" ref="E521">_xlfn.IFS(
D521&lt;20,"Light",
D521&lt;50,"Medium",
D521&lt;100,"Heavy",
D521&gt;=100,"Very Heavy")</f>
        <v>Light</v>
      </c>
      <c r="F521" s="2">
        <v>20</v>
      </c>
      <c r="G521" s="2" t="str" cm="1">
        <f t="array" ref="G521">_xlfn.IFS(
F521&lt;50,"Small",
F521&lt;100,"Medium",
F521&lt;150,"Large",
F521&gt;=150,"Very Large"
)</f>
        <v>Small</v>
      </c>
      <c r="H521" s="2" t="s">
        <v>32</v>
      </c>
      <c r="K521" s="2" t="str">
        <f t="shared" si="33"/>
        <v>Missing Location</v>
      </c>
      <c r="L521" s="2" t="s">
        <v>10</v>
      </c>
      <c r="M521" s="3">
        <v>45388</v>
      </c>
      <c r="N521" s="3" t="str">
        <f t="shared" si="34"/>
        <v>April</v>
      </c>
      <c r="O521" s="2" t="s">
        <v>12</v>
      </c>
      <c r="P521" t="str">
        <f t="shared" si="35"/>
        <v>Needs Review</v>
      </c>
    </row>
    <row r="522" spans="1:16" x14ac:dyDescent="0.3">
      <c r="A522" s="2">
        <f t="shared" si="32"/>
        <v>521</v>
      </c>
      <c r="B522" s="2" t="s">
        <v>29</v>
      </c>
      <c r="C522" s="2" t="s">
        <v>11</v>
      </c>
      <c r="D522" s="1">
        <v>0.24399999999999999</v>
      </c>
      <c r="E522" s="1" t="str" cm="1">
        <f t="array" ref="E522">_xlfn.IFS(
D522&lt;20,"Light",
D522&lt;50,"Medium",
D522&lt;100,"Heavy",
D522&gt;=100,"Very Heavy")</f>
        <v>Light</v>
      </c>
      <c r="F522" s="2">
        <v>20</v>
      </c>
      <c r="G522" s="2" t="str" cm="1">
        <f t="array" ref="G522">_xlfn.IFS(
F522&lt;50,"Small",
F522&lt;100,"Medium",
F522&lt;150,"Large",
F522&gt;=150,"Very Large"
)</f>
        <v>Small</v>
      </c>
      <c r="H522" s="2" t="s">
        <v>32</v>
      </c>
      <c r="K522" s="2" t="str">
        <f t="shared" si="33"/>
        <v>Missing Location</v>
      </c>
      <c r="L522" s="2" t="s">
        <v>10</v>
      </c>
      <c r="M522" s="3">
        <v>45388</v>
      </c>
      <c r="N522" s="3" t="str">
        <f t="shared" si="34"/>
        <v>April</v>
      </c>
      <c r="O522" s="2" t="s">
        <v>12</v>
      </c>
      <c r="P522" t="str">
        <f t="shared" si="35"/>
        <v>Needs Review</v>
      </c>
    </row>
    <row r="523" spans="1:16" x14ac:dyDescent="0.3">
      <c r="A523" s="2">
        <f t="shared" si="32"/>
        <v>522</v>
      </c>
      <c r="B523" s="2" t="s">
        <v>29</v>
      </c>
      <c r="C523" s="2" t="s">
        <v>11</v>
      </c>
      <c r="D523" s="1">
        <v>0.25</v>
      </c>
      <c r="E523" s="1" t="str" cm="1">
        <f t="array" ref="E523">_xlfn.IFS(
D523&lt;20,"Light",
D523&lt;50,"Medium",
D523&lt;100,"Heavy",
D523&gt;=100,"Very Heavy")</f>
        <v>Light</v>
      </c>
      <c r="F523" s="2">
        <v>22</v>
      </c>
      <c r="G523" s="2" t="str" cm="1">
        <f t="array" ref="G523">_xlfn.IFS(
F523&lt;50,"Small",
F523&lt;100,"Medium",
F523&lt;150,"Large",
F523&gt;=150,"Very Large"
)</f>
        <v>Small</v>
      </c>
      <c r="H523" s="2" t="s">
        <v>32</v>
      </c>
      <c r="K523" s="2" t="str">
        <f t="shared" si="33"/>
        <v>Missing Location</v>
      </c>
      <c r="L523" s="2" t="s">
        <v>10</v>
      </c>
      <c r="M523" s="3">
        <v>45388</v>
      </c>
      <c r="N523" s="3" t="str">
        <f t="shared" si="34"/>
        <v>April</v>
      </c>
      <c r="O523" s="2" t="s">
        <v>12</v>
      </c>
      <c r="P523" t="str">
        <f t="shared" si="35"/>
        <v>Needs Review</v>
      </c>
    </row>
    <row r="524" spans="1:16" x14ac:dyDescent="0.3">
      <c r="A524" s="2">
        <f t="shared" si="32"/>
        <v>523</v>
      </c>
      <c r="B524" s="2" t="s">
        <v>29</v>
      </c>
      <c r="C524" s="2" t="s">
        <v>11</v>
      </c>
      <c r="D524" s="1">
        <v>0.27200000000000002</v>
      </c>
      <c r="E524" s="1" t="str" cm="1">
        <f t="array" ref="E524">_xlfn.IFS(
D524&lt;20,"Light",
D524&lt;50,"Medium",
D524&lt;100,"Heavy",
D524&gt;=100,"Very Heavy")</f>
        <v>Light</v>
      </c>
      <c r="F524" s="2">
        <v>20</v>
      </c>
      <c r="G524" s="2" t="str" cm="1">
        <f t="array" ref="G524">_xlfn.IFS(
F524&lt;50,"Small",
F524&lt;100,"Medium",
F524&lt;150,"Large",
F524&gt;=150,"Very Large"
)</f>
        <v>Small</v>
      </c>
      <c r="H524" s="2" t="s">
        <v>32</v>
      </c>
      <c r="K524" s="2" t="str">
        <f t="shared" si="33"/>
        <v>Missing Location</v>
      </c>
      <c r="L524" s="2" t="s">
        <v>10</v>
      </c>
      <c r="M524" s="3">
        <v>45388</v>
      </c>
      <c r="N524" s="3" t="str">
        <f t="shared" si="34"/>
        <v>April</v>
      </c>
      <c r="O524" s="2" t="s">
        <v>12</v>
      </c>
      <c r="P524" t="str">
        <f t="shared" si="35"/>
        <v>Needs Review</v>
      </c>
    </row>
    <row r="525" spans="1:16" x14ac:dyDescent="0.3">
      <c r="A525" s="2">
        <f t="shared" si="32"/>
        <v>524</v>
      </c>
      <c r="B525" s="2" t="s">
        <v>29</v>
      </c>
      <c r="C525" s="2" t="s">
        <v>11</v>
      </c>
      <c r="D525" s="1">
        <v>0.28899999999999998</v>
      </c>
      <c r="E525" s="1" t="str" cm="1">
        <f t="array" ref="E525">_xlfn.IFS(
D525&lt;20,"Light",
D525&lt;50,"Medium",
D525&lt;100,"Heavy",
D525&gt;=100,"Very Heavy")</f>
        <v>Light</v>
      </c>
      <c r="F525" s="2">
        <v>20</v>
      </c>
      <c r="G525" s="2" t="str" cm="1">
        <f t="array" ref="G525">_xlfn.IFS(
F525&lt;50,"Small",
F525&lt;100,"Medium",
F525&lt;150,"Large",
F525&gt;=150,"Very Large"
)</f>
        <v>Small</v>
      </c>
      <c r="H525" s="2" t="s">
        <v>32</v>
      </c>
      <c r="K525" s="2" t="str">
        <f t="shared" si="33"/>
        <v>Missing Location</v>
      </c>
      <c r="L525" s="2" t="s">
        <v>10</v>
      </c>
      <c r="M525" s="3">
        <v>45388</v>
      </c>
      <c r="N525" s="3" t="str">
        <f t="shared" si="34"/>
        <v>April</v>
      </c>
      <c r="O525" s="2" t="s">
        <v>12</v>
      </c>
      <c r="P525" t="str">
        <f t="shared" si="35"/>
        <v>Needs Review</v>
      </c>
    </row>
    <row r="526" spans="1:16" x14ac:dyDescent="0.3">
      <c r="A526" s="2">
        <f t="shared" si="32"/>
        <v>525</v>
      </c>
      <c r="B526" s="2" t="s">
        <v>29</v>
      </c>
      <c r="C526" s="2" t="s">
        <v>11</v>
      </c>
      <c r="D526" s="1">
        <v>0.315</v>
      </c>
      <c r="E526" s="1" t="str" cm="1">
        <f t="array" ref="E526">_xlfn.IFS(
D526&lt;20,"Light",
D526&lt;50,"Medium",
D526&lt;100,"Heavy",
D526&gt;=100,"Very Heavy")</f>
        <v>Light</v>
      </c>
      <c r="F526" s="2">
        <v>20</v>
      </c>
      <c r="G526" s="2" t="str" cm="1">
        <f t="array" ref="G526">_xlfn.IFS(
F526&lt;50,"Small",
F526&lt;100,"Medium",
F526&lt;150,"Large",
F526&gt;=150,"Very Large"
)</f>
        <v>Small</v>
      </c>
      <c r="H526" s="2" t="s">
        <v>32</v>
      </c>
      <c r="K526" s="2" t="str">
        <f t="shared" si="33"/>
        <v>Missing Location</v>
      </c>
      <c r="L526" s="2" t="s">
        <v>10</v>
      </c>
      <c r="M526" s="3">
        <v>45388</v>
      </c>
      <c r="N526" s="3" t="str">
        <f t="shared" si="34"/>
        <v>April</v>
      </c>
      <c r="O526" s="2" t="s">
        <v>12</v>
      </c>
      <c r="P526" t="str">
        <f t="shared" si="35"/>
        <v>Needs Review</v>
      </c>
    </row>
    <row r="527" spans="1:16" x14ac:dyDescent="0.3">
      <c r="A527" s="2">
        <f t="shared" si="32"/>
        <v>526</v>
      </c>
      <c r="B527" s="2" t="s">
        <v>29</v>
      </c>
      <c r="C527" s="2" t="s">
        <v>11</v>
      </c>
      <c r="D527" s="1">
        <v>0.30399999999999999</v>
      </c>
      <c r="E527" s="1" t="str" cm="1">
        <f t="array" ref="E527">_xlfn.IFS(
D527&lt;20,"Light",
D527&lt;50,"Medium",
D527&lt;100,"Heavy",
D527&gt;=100,"Very Heavy")</f>
        <v>Light</v>
      </c>
      <c r="F527" s="2">
        <v>21</v>
      </c>
      <c r="G527" s="2" t="str" cm="1">
        <f t="array" ref="G527">_xlfn.IFS(
F527&lt;50,"Small",
F527&lt;100,"Medium",
F527&lt;150,"Large",
F527&gt;=150,"Very Large"
)</f>
        <v>Small</v>
      </c>
      <c r="H527" s="2" t="s">
        <v>32</v>
      </c>
      <c r="K527" s="2" t="str">
        <f t="shared" si="33"/>
        <v>Missing Location</v>
      </c>
      <c r="L527" s="2" t="s">
        <v>10</v>
      </c>
      <c r="M527" s="3">
        <v>45388</v>
      </c>
      <c r="N527" s="3" t="str">
        <f t="shared" si="34"/>
        <v>April</v>
      </c>
      <c r="O527" s="2" t="s">
        <v>12</v>
      </c>
      <c r="P527" t="str">
        <f t="shared" si="35"/>
        <v>Needs Review</v>
      </c>
    </row>
    <row r="528" spans="1:16" x14ac:dyDescent="0.3">
      <c r="A528" s="2">
        <f t="shared" si="32"/>
        <v>527</v>
      </c>
      <c r="B528" s="2" t="s">
        <v>29</v>
      </c>
      <c r="C528" s="2" t="s">
        <v>11</v>
      </c>
      <c r="D528" s="1">
        <v>0.24099999999999999</v>
      </c>
      <c r="E528" s="1" t="str" cm="1">
        <f t="array" ref="E528">_xlfn.IFS(
D528&lt;20,"Light",
D528&lt;50,"Medium",
D528&lt;100,"Heavy",
D528&gt;=100,"Very Heavy")</f>
        <v>Light</v>
      </c>
      <c r="F528" s="2">
        <v>19</v>
      </c>
      <c r="G528" s="2" t="str" cm="1">
        <f t="array" ref="G528">_xlfn.IFS(
F528&lt;50,"Small",
F528&lt;100,"Medium",
F528&lt;150,"Large",
F528&gt;=150,"Very Large"
)</f>
        <v>Small</v>
      </c>
      <c r="H528" s="2" t="s">
        <v>32</v>
      </c>
      <c r="K528" s="2" t="str">
        <f t="shared" si="33"/>
        <v>Missing Location</v>
      </c>
      <c r="L528" s="2" t="s">
        <v>10</v>
      </c>
      <c r="M528" s="3">
        <v>45388</v>
      </c>
      <c r="N528" s="3" t="str">
        <f t="shared" si="34"/>
        <v>April</v>
      </c>
      <c r="O528" s="2" t="s">
        <v>12</v>
      </c>
      <c r="P528" t="str">
        <f t="shared" si="35"/>
        <v>Needs Review</v>
      </c>
    </row>
    <row r="529" spans="1:16" x14ac:dyDescent="0.3">
      <c r="A529" s="2">
        <f t="shared" si="32"/>
        <v>528</v>
      </c>
      <c r="B529" s="2" t="s">
        <v>29</v>
      </c>
      <c r="C529" s="2" t="s">
        <v>11</v>
      </c>
      <c r="D529" s="1">
        <v>0.248</v>
      </c>
      <c r="E529" s="1" t="str" cm="1">
        <f t="array" ref="E529">_xlfn.IFS(
D529&lt;20,"Light",
D529&lt;50,"Medium",
D529&lt;100,"Heavy",
D529&gt;=100,"Very Heavy")</f>
        <v>Light</v>
      </c>
      <c r="F529" s="2">
        <v>22</v>
      </c>
      <c r="G529" s="2" t="str" cm="1">
        <f t="array" ref="G529">_xlfn.IFS(
F529&lt;50,"Small",
F529&lt;100,"Medium",
F529&lt;150,"Large",
F529&gt;=150,"Very Large"
)</f>
        <v>Small</v>
      </c>
      <c r="H529" s="2" t="s">
        <v>32</v>
      </c>
      <c r="K529" s="2" t="str">
        <f t="shared" si="33"/>
        <v>Missing Location</v>
      </c>
      <c r="L529" s="2" t="s">
        <v>10</v>
      </c>
      <c r="M529" s="3">
        <v>45388</v>
      </c>
      <c r="N529" s="3" t="str">
        <f t="shared" si="34"/>
        <v>April</v>
      </c>
      <c r="O529" s="2" t="s">
        <v>12</v>
      </c>
      <c r="P529" t="str">
        <f t="shared" si="35"/>
        <v>Needs Review</v>
      </c>
    </row>
    <row r="530" spans="1:16" x14ac:dyDescent="0.3">
      <c r="A530" s="2">
        <f t="shared" si="32"/>
        <v>529</v>
      </c>
      <c r="B530" s="2" t="s">
        <v>29</v>
      </c>
      <c r="C530" s="2" t="s">
        <v>11</v>
      </c>
      <c r="D530" s="1">
        <v>0.28999999999999998</v>
      </c>
      <c r="E530" s="1" t="str" cm="1">
        <f t="array" ref="E530">_xlfn.IFS(
D530&lt;20,"Light",
D530&lt;50,"Medium",
D530&lt;100,"Heavy",
D530&gt;=100,"Very Heavy")</f>
        <v>Light</v>
      </c>
      <c r="F530" s="2">
        <v>21</v>
      </c>
      <c r="G530" s="2" t="str" cm="1">
        <f t="array" ref="G530">_xlfn.IFS(
F530&lt;50,"Small",
F530&lt;100,"Medium",
F530&lt;150,"Large",
F530&gt;=150,"Very Large"
)</f>
        <v>Small</v>
      </c>
      <c r="H530" s="2" t="s">
        <v>32</v>
      </c>
      <c r="K530" s="2" t="str">
        <f t="shared" si="33"/>
        <v>Missing Location</v>
      </c>
      <c r="L530" s="2" t="s">
        <v>10</v>
      </c>
      <c r="M530" s="3">
        <v>45388</v>
      </c>
      <c r="N530" s="3" t="str">
        <f t="shared" si="34"/>
        <v>April</v>
      </c>
      <c r="O530" s="2" t="s">
        <v>12</v>
      </c>
      <c r="P530" t="str">
        <f t="shared" si="35"/>
        <v>Needs Review</v>
      </c>
    </row>
    <row r="531" spans="1:16" x14ac:dyDescent="0.3">
      <c r="A531" s="2">
        <f t="shared" si="32"/>
        <v>530</v>
      </c>
      <c r="B531" s="2" t="s">
        <v>29</v>
      </c>
      <c r="C531" s="2" t="s">
        <v>17</v>
      </c>
      <c r="D531" s="1">
        <v>0.31900000000000001</v>
      </c>
      <c r="E531" s="1" t="str" cm="1">
        <f t="array" ref="E531">_xlfn.IFS(
D531&lt;20,"Light",
D531&lt;50,"Medium",
D531&lt;100,"Heavy",
D531&gt;=100,"Very Heavy")</f>
        <v>Light</v>
      </c>
      <c r="F531" s="2">
        <v>20</v>
      </c>
      <c r="G531" s="2" t="str" cm="1">
        <f t="array" ref="G531">_xlfn.IFS(
F531&lt;50,"Small",
F531&lt;100,"Medium",
F531&lt;150,"Large",
F531&gt;=150,"Very Large"
)</f>
        <v>Small</v>
      </c>
      <c r="H531" s="2" t="s">
        <v>32</v>
      </c>
      <c r="K531" s="2" t="str">
        <f t="shared" si="33"/>
        <v>Missing Location</v>
      </c>
      <c r="L531" s="2" t="s">
        <v>10</v>
      </c>
      <c r="M531" s="3">
        <v>45388</v>
      </c>
      <c r="N531" s="3" t="str">
        <f t="shared" si="34"/>
        <v>April</v>
      </c>
      <c r="O531" s="2" t="s">
        <v>12</v>
      </c>
      <c r="P531" t="str">
        <f t="shared" si="35"/>
        <v>Needs Review</v>
      </c>
    </row>
    <row r="532" spans="1:16" x14ac:dyDescent="0.3">
      <c r="A532" s="2">
        <f t="shared" si="32"/>
        <v>531</v>
      </c>
      <c r="B532" s="2" t="s">
        <v>29</v>
      </c>
      <c r="C532" s="2" t="s">
        <v>17</v>
      </c>
      <c r="D532" s="1">
        <v>0.29199999999999998</v>
      </c>
      <c r="E532" s="1" t="str" cm="1">
        <f t="array" ref="E532">_xlfn.IFS(
D532&lt;20,"Light",
D532&lt;50,"Medium",
D532&lt;100,"Heavy",
D532&gt;=100,"Very Heavy")</f>
        <v>Light</v>
      </c>
      <c r="F532" s="2">
        <v>19</v>
      </c>
      <c r="G532" s="2" t="str" cm="1">
        <f t="array" ref="G532">_xlfn.IFS(
F532&lt;50,"Small",
F532&lt;100,"Medium",
F532&lt;150,"Large",
F532&gt;=150,"Very Large"
)</f>
        <v>Small</v>
      </c>
      <c r="H532" s="2" t="s">
        <v>33</v>
      </c>
      <c r="K532" s="2" t="str">
        <f t="shared" si="33"/>
        <v>Missing Location</v>
      </c>
      <c r="L532" s="2" t="s">
        <v>10</v>
      </c>
      <c r="M532" s="3">
        <v>45388</v>
      </c>
      <c r="N532" s="3" t="str">
        <f t="shared" si="34"/>
        <v>April</v>
      </c>
      <c r="O532" s="2" t="s">
        <v>12</v>
      </c>
      <c r="P532" t="str">
        <f t="shared" si="35"/>
        <v>Needs Review</v>
      </c>
    </row>
    <row r="533" spans="1:16" x14ac:dyDescent="0.3">
      <c r="A533" s="2">
        <f t="shared" si="32"/>
        <v>532</v>
      </c>
      <c r="B533" s="2" t="s">
        <v>29</v>
      </c>
      <c r="C533" s="2" t="s">
        <v>17</v>
      </c>
      <c r="D533" s="1">
        <v>0.31900000000000001</v>
      </c>
      <c r="E533" s="1" t="str" cm="1">
        <f t="array" ref="E533">_xlfn.IFS(
D533&lt;20,"Light",
D533&lt;50,"Medium",
D533&lt;100,"Heavy",
D533&gt;=100,"Very Heavy")</f>
        <v>Light</v>
      </c>
      <c r="F533" s="2">
        <v>19</v>
      </c>
      <c r="G533" s="2" t="str" cm="1">
        <f t="array" ref="G533">_xlfn.IFS(
F533&lt;50,"Small",
F533&lt;100,"Medium",
F533&lt;150,"Large",
F533&gt;=150,"Very Large"
)</f>
        <v>Small</v>
      </c>
      <c r="H533" s="2" t="s">
        <v>33</v>
      </c>
      <c r="K533" s="2" t="str">
        <f t="shared" si="33"/>
        <v>Missing Location</v>
      </c>
      <c r="L533" s="2" t="s">
        <v>10</v>
      </c>
      <c r="M533" s="3">
        <v>45388</v>
      </c>
      <c r="N533" s="3" t="str">
        <f t="shared" si="34"/>
        <v>April</v>
      </c>
      <c r="O533" s="2" t="s">
        <v>12</v>
      </c>
      <c r="P533" t="str">
        <f t="shared" si="35"/>
        <v>Needs Review</v>
      </c>
    </row>
    <row r="534" spans="1:16" x14ac:dyDescent="0.3">
      <c r="A534" s="2">
        <f t="shared" si="32"/>
        <v>533</v>
      </c>
      <c r="B534" s="2" t="s">
        <v>29</v>
      </c>
      <c r="C534" s="2" t="s">
        <v>17</v>
      </c>
      <c r="D534" s="1">
        <v>0.29799999999999999</v>
      </c>
      <c r="E534" s="1" t="str" cm="1">
        <f t="array" ref="E534">_xlfn.IFS(
D534&lt;20,"Light",
D534&lt;50,"Medium",
D534&lt;100,"Heavy",
D534&gt;=100,"Very Heavy")</f>
        <v>Light</v>
      </c>
      <c r="F534" s="2">
        <v>20</v>
      </c>
      <c r="G534" s="2" t="str" cm="1">
        <f t="array" ref="G534">_xlfn.IFS(
F534&lt;50,"Small",
F534&lt;100,"Medium",
F534&lt;150,"Large",
F534&gt;=150,"Very Large"
)</f>
        <v>Small</v>
      </c>
      <c r="H534" s="2" t="s">
        <v>32</v>
      </c>
      <c r="K534" s="2" t="str">
        <f t="shared" si="33"/>
        <v>Missing Location</v>
      </c>
      <c r="L534" s="2" t="s">
        <v>10</v>
      </c>
      <c r="M534" s="3">
        <v>45388</v>
      </c>
      <c r="N534" s="3" t="str">
        <f t="shared" si="34"/>
        <v>April</v>
      </c>
      <c r="O534" s="2" t="s">
        <v>12</v>
      </c>
      <c r="P534" t="str">
        <f t="shared" si="35"/>
        <v>Needs Review</v>
      </c>
    </row>
    <row r="535" spans="1:16" x14ac:dyDescent="0.3">
      <c r="A535" s="2">
        <f t="shared" si="32"/>
        <v>534</v>
      </c>
      <c r="B535" s="2" t="s">
        <v>29</v>
      </c>
      <c r="C535" s="2" t="s">
        <v>17</v>
      </c>
      <c r="D535" s="1">
        <v>0.255</v>
      </c>
      <c r="E535" s="1" t="str" cm="1">
        <f t="array" ref="E535">_xlfn.IFS(
D535&lt;20,"Light",
D535&lt;50,"Medium",
D535&lt;100,"Heavy",
D535&gt;=100,"Very Heavy")</f>
        <v>Light</v>
      </c>
      <c r="F535" s="2">
        <v>22</v>
      </c>
      <c r="G535" s="2" t="str" cm="1">
        <f t="array" ref="G535">_xlfn.IFS(
F535&lt;50,"Small",
F535&lt;100,"Medium",
F535&lt;150,"Large",
F535&gt;=150,"Very Large"
)</f>
        <v>Small</v>
      </c>
      <c r="H535" s="2" t="s">
        <v>32</v>
      </c>
      <c r="K535" s="2" t="str">
        <f t="shared" si="33"/>
        <v>Missing Location</v>
      </c>
      <c r="L535" s="2" t="s">
        <v>10</v>
      </c>
      <c r="M535" s="3">
        <v>45388</v>
      </c>
      <c r="N535" s="3" t="str">
        <f t="shared" si="34"/>
        <v>April</v>
      </c>
      <c r="O535" s="2" t="s">
        <v>12</v>
      </c>
      <c r="P535" t="str">
        <f t="shared" si="35"/>
        <v>Needs Review</v>
      </c>
    </row>
    <row r="536" spans="1:16" x14ac:dyDescent="0.3">
      <c r="A536" s="2">
        <f t="shared" si="32"/>
        <v>535</v>
      </c>
      <c r="B536" s="2" t="s">
        <v>29</v>
      </c>
      <c r="C536" s="2" t="s">
        <v>17</v>
      </c>
      <c r="D536" s="1">
        <v>0.3</v>
      </c>
      <c r="E536" s="1" t="str" cm="1">
        <f t="array" ref="E536">_xlfn.IFS(
D536&lt;20,"Light",
D536&lt;50,"Medium",
D536&lt;100,"Heavy",
D536&gt;=100,"Very Heavy")</f>
        <v>Light</v>
      </c>
      <c r="F536" s="2">
        <v>20</v>
      </c>
      <c r="G536" s="2" t="str" cm="1">
        <f t="array" ref="G536">_xlfn.IFS(
F536&lt;50,"Small",
F536&lt;100,"Medium",
F536&lt;150,"Large",
F536&gt;=150,"Very Large"
)</f>
        <v>Small</v>
      </c>
      <c r="H536" s="2" t="s">
        <v>32</v>
      </c>
      <c r="K536" s="2" t="str">
        <f t="shared" si="33"/>
        <v>Missing Location</v>
      </c>
      <c r="L536" s="2" t="s">
        <v>10</v>
      </c>
      <c r="M536" s="3">
        <v>45388</v>
      </c>
      <c r="N536" s="3" t="str">
        <f t="shared" si="34"/>
        <v>April</v>
      </c>
      <c r="O536" s="2" t="s">
        <v>12</v>
      </c>
      <c r="P536" t="str">
        <f t="shared" si="35"/>
        <v>Needs Review</v>
      </c>
    </row>
    <row r="537" spans="1:16" x14ac:dyDescent="0.3">
      <c r="A537" s="2">
        <f t="shared" si="32"/>
        <v>536</v>
      </c>
      <c r="B537" s="2" t="s">
        <v>29</v>
      </c>
      <c r="C537" s="2" t="s">
        <v>17</v>
      </c>
      <c r="D537" s="1">
        <v>0.252</v>
      </c>
      <c r="E537" s="1" t="str" cm="1">
        <f t="array" ref="E537">_xlfn.IFS(
D537&lt;20,"Light",
D537&lt;50,"Medium",
D537&lt;100,"Heavy",
D537&gt;=100,"Very Heavy")</f>
        <v>Light</v>
      </c>
      <c r="F537" s="2">
        <v>21</v>
      </c>
      <c r="G537" s="2" t="str" cm="1">
        <f t="array" ref="G537">_xlfn.IFS(
F537&lt;50,"Small",
F537&lt;100,"Medium",
F537&lt;150,"Large",
F537&gt;=150,"Very Large"
)</f>
        <v>Small</v>
      </c>
      <c r="H537" s="2" t="s">
        <v>32</v>
      </c>
      <c r="K537" s="2" t="str">
        <f t="shared" si="33"/>
        <v>Missing Location</v>
      </c>
      <c r="L537" s="2" t="s">
        <v>10</v>
      </c>
      <c r="M537" s="3">
        <v>45388</v>
      </c>
      <c r="N537" s="3" t="str">
        <f t="shared" si="34"/>
        <v>April</v>
      </c>
      <c r="O537" s="2" t="s">
        <v>12</v>
      </c>
      <c r="P537" t="str">
        <f t="shared" si="35"/>
        <v>Needs Review</v>
      </c>
    </row>
    <row r="538" spans="1:16" x14ac:dyDescent="0.3">
      <c r="A538" s="2">
        <f t="shared" si="32"/>
        <v>537</v>
      </c>
      <c r="B538" s="2" t="s">
        <v>30</v>
      </c>
      <c r="C538" s="2" t="s">
        <v>13</v>
      </c>
      <c r="D538" s="1">
        <v>0.8</v>
      </c>
      <c r="E538" s="1" t="str" cm="1">
        <f t="array" ref="E538">_xlfn.IFS(
D538&lt;20,"Light",
D538&lt;50,"Medium",
D538&lt;100,"Heavy",
D538&gt;=100,"Very Heavy")</f>
        <v>Light</v>
      </c>
      <c r="F538" s="2">
        <v>17</v>
      </c>
      <c r="G538" s="2" t="str" cm="1">
        <f t="array" ref="G538">_xlfn.IFS(
F538&lt;50,"Small",
F538&lt;100,"Medium",
F538&lt;150,"Large",
F538&gt;=150,"Very Large"
)</f>
        <v>Small</v>
      </c>
      <c r="H538" s="2" t="s">
        <v>32</v>
      </c>
      <c r="I538" s="2">
        <v>48.409644999999998</v>
      </c>
      <c r="J538" s="2">
        <v>18.872415</v>
      </c>
      <c r="K538" s="2" t="str">
        <f t="shared" si="33"/>
        <v>Available</v>
      </c>
      <c r="L538" s="2" t="s">
        <v>10</v>
      </c>
      <c r="M538" s="3">
        <v>45388</v>
      </c>
      <c r="N538" s="3" t="str">
        <f t="shared" si="34"/>
        <v>April</v>
      </c>
      <c r="O538" s="2" t="s">
        <v>14</v>
      </c>
      <c r="P538" t="str">
        <f t="shared" si="35"/>
        <v>OK</v>
      </c>
    </row>
    <row r="539" spans="1:16" x14ac:dyDescent="0.3">
      <c r="A539" s="2">
        <f t="shared" si="32"/>
        <v>538</v>
      </c>
      <c r="B539" s="2" t="s">
        <v>28</v>
      </c>
      <c r="C539" s="2" t="s">
        <v>15</v>
      </c>
      <c r="D539" s="1">
        <v>26</v>
      </c>
      <c r="E539" s="1" t="str" cm="1">
        <f t="array" ref="E539">_xlfn.IFS(
D539&lt;20,"Light",
D539&lt;50,"Medium",
D539&lt;100,"Heavy",
D539&gt;=100,"Very Heavy")</f>
        <v>Medium</v>
      </c>
      <c r="F539" s="2">
        <v>88</v>
      </c>
      <c r="G539" s="2" t="str" cm="1">
        <f t="array" ref="G539">_xlfn.IFS(
F539&lt;50,"Small",
F539&lt;100,"Medium",
F539&lt;150,"Large",
F539&gt;=150,"Very Large"
)</f>
        <v>Medium</v>
      </c>
      <c r="H539" s="2" t="s">
        <v>33</v>
      </c>
      <c r="I539" s="2">
        <v>50.883881000000002</v>
      </c>
      <c r="J539" s="2">
        <v>14.373018</v>
      </c>
      <c r="K539" s="2" t="str">
        <f t="shared" si="33"/>
        <v>Available</v>
      </c>
      <c r="L539" s="2" t="s">
        <v>10</v>
      </c>
      <c r="M539" s="3">
        <v>45388</v>
      </c>
      <c r="N539" s="3" t="str">
        <f t="shared" si="34"/>
        <v>April</v>
      </c>
      <c r="O539" s="2" t="s">
        <v>14</v>
      </c>
      <c r="P539" t="str">
        <f t="shared" si="35"/>
        <v>OK</v>
      </c>
    </row>
    <row r="540" spans="1:16" x14ac:dyDescent="0.3">
      <c r="A540" s="2">
        <f t="shared" si="32"/>
        <v>539</v>
      </c>
      <c r="B540" s="2" t="s">
        <v>29</v>
      </c>
      <c r="C540" s="2" t="s">
        <v>15</v>
      </c>
      <c r="D540" s="1">
        <v>0.316</v>
      </c>
      <c r="E540" s="1" t="str" cm="1">
        <f t="array" ref="E540">_xlfn.IFS(
D540&lt;20,"Light",
D540&lt;50,"Medium",
D540&lt;100,"Heavy",
D540&gt;=100,"Very Heavy")</f>
        <v>Light</v>
      </c>
      <c r="F540" s="2">
        <v>23</v>
      </c>
      <c r="G540" s="2" t="str" cm="1">
        <f t="array" ref="G540">_xlfn.IFS(
F540&lt;50,"Small",
F540&lt;100,"Medium",
F540&lt;150,"Large",
F540&gt;=150,"Very Large"
)</f>
        <v>Small</v>
      </c>
      <c r="H540" s="2" t="s">
        <v>33</v>
      </c>
      <c r="I540" s="2">
        <v>49.939309999999999</v>
      </c>
      <c r="J540" s="2">
        <v>14.181266000000001</v>
      </c>
      <c r="K540" s="2" t="str">
        <f t="shared" si="33"/>
        <v>Available</v>
      </c>
      <c r="L540" s="2" t="s">
        <v>10</v>
      </c>
      <c r="M540" s="3">
        <v>45388</v>
      </c>
      <c r="N540" s="3" t="str">
        <f t="shared" si="34"/>
        <v>April</v>
      </c>
      <c r="O540" s="2" t="s">
        <v>14</v>
      </c>
      <c r="P540" t="str">
        <f t="shared" si="35"/>
        <v>OK</v>
      </c>
    </row>
    <row r="541" spans="1:16" x14ac:dyDescent="0.3">
      <c r="A541" s="2">
        <f t="shared" si="32"/>
        <v>540</v>
      </c>
      <c r="B541" s="2" t="s">
        <v>29</v>
      </c>
      <c r="C541" s="2" t="s">
        <v>15</v>
      </c>
      <c r="D541" s="1">
        <v>0.32700000000000001</v>
      </c>
      <c r="E541" s="1" t="str" cm="1">
        <f t="array" ref="E541">_xlfn.IFS(
D541&lt;20,"Light",
D541&lt;50,"Medium",
D541&lt;100,"Heavy",
D541&gt;=100,"Very Heavy")</f>
        <v>Light</v>
      </c>
      <c r="F541" s="2">
        <v>21</v>
      </c>
      <c r="G541" s="2" t="str" cm="1">
        <f t="array" ref="G541">_xlfn.IFS(
F541&lt;50,"Small",
F541&lt;100,"Medium",
F541&lt;150,"Large",
F541&gt;=150,"Very Large"
)</f>
        <v>Small</v>
      </c>
      <c r="H541" s="2" t="s">
        <v>32</v>
      </c>
      <c r="I541" s="2">
        <v>49.938616000000003</v>
      </c>
      <c r="J541" s="2">
        <v>14.181291</v>
      </c>
      <c r="K541" s="2" t="str">
        <f t="shared" si="33"/>
        <v>Available</v>
      </c>
      <c r="L541" s="2" t="s">
        <v>10</v>
      </c>
      <c r="M541" s="3">
        <v>45388</v>
      </c>
      <c r="N541" s="3" t="str">
        <f t="shared" si="34"/>
        <v>April</v>
      </c>
      <c r="O541" s="2" t="s">
        <v>14</v>
      </c>
      <c r="P541" t="str">
        <f t="shared" si="35"/>
        <v>OK</v>
      </c>
    </row>
    <row r="542" spans="1:16" x14ac:dyDescent="0.3">
      <c r="A542" s="2">
        <f t="shared" si="32"/>
        <v>541</v>
      </c>
      <c r="B542" s="2" t="s">
        <v>29</v>
      </c>
      <c r="C542" s="2" t="s">
        <v>15</v>
      </c>
      <c r="D542" s="1">
        <v>0.28799999999999998</v>
      </c>
      <c r="E542" s="1" t="str" cm="1">
        <f t="array" ref="E542">_xlfn.IFS(
D542&lt;20,"Light",
D542&lt;50,"Medium",
D542&lt;100,"Heavy",
D542&gt;=100,"Very Heavy")</f>
        <v>Light</v>
      </c>
      <c r="F542" s="2">
        <v>18</v>
      </c>
      <c r="G542" s="2" t="str" cm="1">
        <f t="array" ref="G542">_xlfn.IFS(
F542&lt;50,"Small",
F542&lt;100,"Medium",
F542&lt;150,"Large",
F542&gt;=150,"Very Large"
)</f>
        <v>Small</v>
      </c>
      <c r="H542" s="2" t="s">
        <v>32</v>
      </c>
      <c r="I542" s="2">
        <v>49.937838999999997</v>
      </c>
      <c r="J542" s="2">
        <v>14.179074999999999</v>
      </c>
      <c r="K542" s="2" t="str">
        <f t="shared" si="33"/>
        <v>Available</v>
      </c>
      <c r="L542" s="2" t="s">
        <v>10</v>
      </c>
      <c r="M542" s="3">
        <v>45388</v>
      </c>
      <c r="N542" s="3" t="str">
        <f t="shared" si="34"/>
        <v>April</v>
      </c>
      <c r="O542" s="2" t="s">
        <v>14</v>
      </c>
      <c r="P542" t="str">
        <f t="shared" si="35"/>
        <v>OK</v>
      </c>
    </row>
    <row r="543" spans="1:16" x14ac:dyDescent="0.3">
      <c r="A543" s="2">
        <f t="shared" si="32"/>
        <v>542</v>
      </c>
      <c r="B543" s="2" t="s">
        <v>29</v>
      </c>
      <c r="C543" s="2" t="s">
        <v>15</v>
      </c>
      <c r="D543" s="1">
        <v>0.313</v>
      </c>
      <c r="E543" s="1" t="str" cm="1">
        <f t="array" ref="E543">_xlfn.IFS(
D543&lt;20,"Light",
D543&lt;50,"Medium",
D543&lt;100,"Heavy",
D543&gt;=100,"Very Heavy")</f>
        <v>Light</v>
      </c>
      <c r="F543" s="2">
        <v>22</v>
      </c>
      <c r="G543" s="2" t="str" cm="1">
        <f t="array" ref="G543">_xlfn.IFS(
F543&lt;50,"Small",
F543&lt;100,"Medium",
F543&lt;150,"Large",
F543&gt;=150,"Very Large"
)</f>
        <v>Small</v>
      </c>
      <c r="H543" s="2" t="s">
        <v>33</v>
      </c>
      <c r="I543" s="2">
        <v>49.939307999999997</v>
      </c>
      <c r="J543" s="2">
        <v>14.180747</v>
      </c>
      <c r="K543" s="2" t="str">
        <f t="shared" si="33"/>
        <v>Available</v>
      </c>
      <c r="L543" s="2" t="s">
        <v>10</v>
      </c>
      <c r="M543" s="3">
        <v>45388</v>
      </c>
      <c r="N543" s="3" t="str">
        <f t="shared" si="34"/>
        <v>April</v>
      </c>
      <c r="O543" s="2" t="s">
        <v>14</v>
      </c>
      <c r="P543" t="str">
        <f t="shared" si="35"/>
        <v>OK</v>
      </c>
    </row>
    <row r="544" spans="1:16" x14ac:dyDescent="0.3">
      <c r="A544" s="2">
        <f t="shared" si="32"/>
        <v>543</v>
      </c>
      <c r="B544" s="2" t="s">
        <v>27</v>
      </c>
      <c r="C544" s="2" t="s">
        <v>4</v>
      </c>
      <c r="D544" s="1">
        <v>1100</v>
      </c>
      <c r="E544" s="1" t="str" cm="1">
        <f t="array" ref="E544">_xlfn.IFS(
D544&lt;20,"Light",
D544&lt;50,"Medium",
D544&lt;100,"Heavy",
D544&gt;=100,"Very Heavy")</f>
        <v>Very Heavy</v>
      </c>
      <c r="F544" s="2">
        <v>350</v>
      </c>
      <c r="G544" s="2" t="str" cm="1">
        <f t="array" ref="G544">_xlfn.IFS(
F544&lt;50,"Small",
F544&lt;100,"Medium",
F544&lt;150,"Large",
F544&gt;=150,"Very Large"
)</f>
        <v>Very Large</v>
      </c>
      <c r="H544" s="2" t="s">
        <v>32</v>
      </c>
      <c r="I544" s="2">
        <v>52.803316000000002</v>
      </c>
      <c r="J544" s="2">
        <v>23.686301</v>
      </c>
      <c r="K544" s="2" t="str">
        <f t="shared" si="33"/>
        <v>Available</v>
      </c>
      <c r="L544" s="2" t="s">
        <v>10</v>
      </c>
      <c r="M544" s="3">
        <v>45389</v>
      </c>
      <c r="N544" s="3" t="str">
        <f t="shared" si="34"/>
        <v>April</v>
      </c>
      <c r="O544" s="2" t="s">
        <v>6</v>
      </c>
      <c r="P544" t="str">
        <f t="shared" si="35"/>
        <v>OK</v>
      </c>
    </row>
    <row r="545" spans="1:16" x14ac:dyDescent="0.3">
      <c r="A545" s="2">
        <f t="shared" si="32"/>
        <v>544</v>
      </c>
      <c r="B545" s="2" t="s">
        <v>30</v>
      </c>
      <c r="C545" s="2" t="s">
        <v>7</v>
      </c>
      <c r="D545" s="1">
        <v>0.9</v>
      </c>
      <c r="E545" s="1" t="str" cm="1">
        <f t="array" ref="E545">_xlfn.IFS(
D545&lt;20,"Light",
D545&lt;50,"Medium",
D545&lt;100,"Heavy",
D545&gt;=100,"Very Heavy")</f>
        <v>Light</v>
      </c>
      <c r="F545" s="2">
        <v>16</v>
      </c>
      <c r="G545" s="2" t="str" cm="1">
        <f t="array" ref="G545">_xlfn.IFS(
F545&lt;50,"Small",
F545&lt;100,"Medium",
F545&lt;150,"Large",
F545&gt;=150,"Very Large"
)</f>
        <v>Small</v>
      </c>
      <c r="H545" s="2" t="s">
        <v>33</v>
      </c>
      <c r="I545" s="2">
        <v>47.506638000000002</v>
      </c>
      <c r="J545" s="2">
        <v>18.940090999999999</v>
      </c>
      <c r="K545" s="2" t="str">
        <f t="shared" si="33"/>
        <v>Available</v>
      </c>
      <c r="L545" s="2" t="s">
        <v>10</v>
      </c>
      <c r="M545" s="3">
        <v>45389</v>
      </c>
      <c r="N545" s="3" t="str">
        <f t="shared" si="34"/>
        <v>April</v>
      </c>
      <c r="O545" s="2" t="s">
        <v>6</v>
      </c>
      <c r="P545" t="str">
        <f t="shared" si="35"/>
        <v>OK</v>
      </c>
    </row>
    <row r="546" spans="1:16" x14ac:dyDescent="0.3">
      <c r="A546" s="2">
        <f t="shared" si="32"/>
        <v>545</v>
      </c>
      <c r="B546" s="2" t="s">
        <v>28</v>
      </c>
      <c r="C546" s="2" t="s">
        <v>4</v>
      </c>
      <c r="D546" s="1">
        <v>23</v>
      </c>
      <c r="E546" s="1" t="str" cm="1">
        <f t="array" ref="E546">_xlfn.IFS(
D546&lt;20,"Light",
D546&lt;50,"Medium",
D546&lt;100,"Heavy",
D546&gt;=100,"Very Heavy")</f>
        <v>Medium</v>
      </c>
      <c r="F546" s="2">
        <v>73</v>
      </c>
      <c r="G546" s="2" t="str" cm="1">
        <f t="array" ref="G546">_xlfn.IFS(
F546&lt;50,"Small",
F546&lt;100,"Medium",
F546&lt;150,"Large",
F546&gt;=150,"Very Large"
)</f>
        <v>Medium</v>
      </c>
      <c r="H546" s="2" t="s">
        <v>32</v>
      </c>
      <c r="I546" s="2">
        <v>52.823016000000003</v>
      </c>
      <c r="J546" s="2">
        <v>23.812286</v>
      </c>
      <c r="K546" s="2" t="str">
        <f t="shared" si="33"/>
        <v>Available</v>
      </c>
      <c r="L546" s="2" t="s">
        <v>10</v>
      </c>
      <c r="M546" s="3">
        <v>45389</v>
      </c>
      <c r="N546" s="3" t="str">
        <f t="shared" si="34"/>
        <v>April</v>
      </c>
      <c r="O546" s="2" t="s">
        <v>6</v>
      </c>
      <c r="P546" t="str">
        <f t="shared" si="35"/>
        <v>OK</v>
      </c>
    </row>
    <row r="547" spans="1:16" x14ac:dyDescent="0.3">
      <c r="A547" s="2">
        <f t="shared" si="32"/>
        <v>546</v>
      </c>
      <c r="B547" s="2" t="s">
        <v>29</v>
      </c>
      <c r="C547" s="2" t="s">
        <v>7</v>
      </c>
      <c r="D547" s="1">
        <v>0.31900000000000001</v>
      </c>
      <c r="E547" s="1" t="str" cm="1">
        <f t="array" ref="E547">_xlfn.IFS(
D547&lt;20,"Light",
D547&lt;50,"Medium",
D547&lt;100,"Heavy",
D547&gt;=100,"Very Heavy")</f>
        <v>Light</v>
      </c>
      <c r="F547" s="2">
        <v>18</v>
      </c>
      <c r="G547" s="2" t="str" cm="1">
        <f t="array" ref="G547">_xlfn.IFS(
F547&lt;50,"Small",
F547&lt;100,"Medium",
F547&lt;150,"Large",
F547&gt;=150,"Very Large"
)</f>
        <v>Small</v>
      </c>
      <c r="H547" s="2" t="s">
        <v>32</v>
      </c>
      <c r="I547" s="2">
        <v>47.508665000000001</v>
      </c>
      <c r="J547" s="2">
        <v>18.940456000000001</v>
      </c>
      <c r="K547" s="2" t="str">
        <f t="shared" si="33"/>
        <v>Available</v>
      </c>
      <c r="L547" s="2" t="s">
        <v>10</v>
      </c>
      <c r="M547" s="3">
        <v>45389</v>
      </c>
      <c r="N547" s="3" t="str">
        <f t="shared" si="34"/>
        <v>April</v>
      </c>
      <c r="O547" s="2" t="s">
        <v>6</v>
      </c>
      <c r="P547" t="str">
        <f t="shared" si="35"/>
        <v>OK</v>
      </c>
    </row>
    <row r="548" spans="1:16" x14ac:dyDescent="0.3">
      <c r="A548" s="2">
        <f t="shared" si="32"/>
        <v>547</v>
      </c>
      <c r="B548" s="2" t="s">
        <v>29</v>
      </c>
      <c r="C548" s="2" t="s">
        <v>7</v>
      </c>
      <c r="D548" s="1">
        <v>0.28000000000000003</v>
      </c>
      <c r="E548" s="1" t="str" cm="1">
        <f t="array" ref="E548">_xlfn.IFS(
D548&lt;20,"Light",
D548&lt;50,"Medium",
D548&lt;100,"Heavy",
D548&gt;=100,"Very Heavy")</f>
        <v>Light</v>
      </c>
      <c r="F548" s="2">
        <v>21</v>
      </c>
      <c r="G548" s="2" t="str" cm="1">
        <f t="array" ref="G548">_xlfn.IFS(
F548&lt;50,"Small",
F548&lt;100,"Medium",
F548&lt;150,"Large",
F548&gt;=150,"Very Large"
)</f>
        <v>Small</v>
      </c>
      <c r="H548" s="2" t="s">
        <v>33</v>
      </c>
      <c r="I548" s="2">
        <v>47.510978000000001</v>
      </c>
      <c r="J548" s="2">
        <v>18.942962999999999</v>
      </c>
      <c r="K548" s="2" t="str">
        <f t="shared" si="33"/>
        <v>Available</v>
      </c>
      <c r="L548" s="2" t="s">
        <v>10</v>
      </c>
      <c r="M548" s="3">
        <v>45389</v>
      </c>
      <c r="N548" s="3" t="str">
        <f t="shared" si="34"/>
        <v>April</v>
      </c>
      <c r="O548" s="2" t="s">
        <v>6</v>
      </c>
      <c r="P548" t="str">
        <f t="shared" si="35"/>
        <v>OK</v>
      </c>
    </row>
    <row r="549" spans="1:16" x14ac:dyDescent="0.3">
      <c r="A549" s="2">
        <f t="shared" si="32"/>
        <v>548</v>
      </c>
      <c r="B549" s="2" t="s">
        <v>29</v>
      </c>
      <c r="C549" s="2" t="s">
        <v>17</v>
      </c>
      <c r="D549" s="1">
        <v>0.26400000000000001</v>
      </c>
      <c r="E549" s="1" t="str" cm="1">
        <f t="array" ref="E549">_xlfn.IFS(
D549&lt;20,"Light",
D549&lt;50,"Medium",
D549&lt;100,"Heavy",
D549&gt;=100,"Very Heavy")</f>
        <v>Light</v>
      </c>
      <c r="F549" s="2">
        <v>22</v>
      </c>
      <c r="G549" s="2" t="str" cm="1">
        <f t="array" ref="G549">_xlfn.IFS(
F549&lt;50,"Small",
F549&lt;100,"Medium",
F549&lt;150,"Large",
F549&gt;=150,"Very Large"
)</f>
        <v>Small</v>
      </c>
      <c r="H549" s="2" t="s">
        <v>33</v>
      </c>
      <c r="I549" s="2">
        <v>47.857585999999998</v>
      </c>
      <c r="J549" s="2">
        <v>15.081327999999999</v>
      </c>
      <c r="K549" s="2" t="str">
        <f t="shared" si="33"/>
        <v>Available</v>
      </c>
      <c r="L549" s="2" t="s">
        <v>10</v>
      </c>
      <c r="M549" s="3">
        <v>45389</v>
      </c>
      <c r="N549" s="3" t="str">
        <f t="shared" si="34"/>
        <v>April</v>
      </c>
      <c r="O549" s="2" t="s">
        <v>12</v>
      </c>
      <c r="P549" t="str">
        <f t="shared" si="35"/>
        <v>OK</v>
      </c>
    </row>
    <row r="550" spans="1:16" x14ac:dyDescent="0.3">
      <c r="A550" s="2">
        <f t="shared" si="32"/>
        <v>549</v>
      </c>
      <c r="B550" s="2" t="s">
        <v>29</v>
      </c>
      <c r="C550" s="2" t="s">
        <v>17</v>
      </c>
      <c r="D550" s="1">
        <v>0.33400000000000002</v>
      </c>
      <c r="E550" s="1" t="str" cm="1">
        <f t="array" ref="E550">_xlfn.IFS(
D550&lt;20,"Light",
D550&lt;50,"Medium",
D550&lt;100,"Heavy",
D550&gt;=100,"Very Heavy")</f>
        <v>Light</v>
      </c>
      <c r="F550" s="2">
        <v>19</v>
      </c>
      <c r="G550" s="2" t="str" cm="1">
        <f t="array" ref="G550">_xlfn.IFS(
F550&lt;50,"Small",
F550&lt;100,"Medium",
F550&lt;150,"Large",
F550&gt;=150,"Very Large"
)</f>
        <v>Small</v>
      </c>
      <c r="H550" s="2" t="s">
        <v>32</v>
      </c>
      <c r="I550" s="2">
        <v>47.856971000000001</v>
      </c>
      <c r="J550" s="2">
        <v>15.078984</v>
      </c>
      <c r="K550" s="2" t="str">
        <f t="shared" si="33"/>
        <v>Available</v>
      </c>
      <c r="L550" s="2" t="s">
        <v>10</v>
      </c>
      <c r="M550" s="3">
        <v>45389</v>
      </c>
      <c r="N550" s="3" t="str">
        <f t="shared" si="34"/>
        <v>April</v>
      </c>
      <c r="O550" s="2" t="s">
        <v>12</v>
      </c>
      <c r="P550" t="str">
        <f t="shared" si="35"/>
        <v>OK</v>
      </c>
    </row>
    <row r="551" spans="1:16" x14ac:dyDescent="0.3">
      <c r="A551" s="2">
        <f t="shared" si="32"/>
        <v>550</v>
      </c>
      <c r="B551" s="2" t="s">
        <v>29</v>
      </c>
      <c r="C551" s="2" t="s">
        <v>17</v>
      </c>
      <c r="D551" s="1">
        <v>0.27800000000000002</v>
      </c>
      <c r="E551" s="1" t="str" cm="1">
        <f t="array" ref="E551">_xlfn.IFS(
D551&lt;20,"Light",
D551&lt;50,"Medium",
D551&lt;100,"Heavy",
D551&gt;=100,"Very Heavy")</f>
        <v>Light</v>
      </c>
      <c r="F551" s="2">
        <v>21</v>
      </c>
      <c r="G551" s="2" t="str" cm="1">
        <f t="array" ref="G551">_xlfn.IFS(
F551&lt;50,"Small",
F551&lt;100,"Medium",
F551&lt;150,"Large",
F551&gt;=150,"Very Large"
)</f>
        <v>Small</v>
      </c>
      <c r="H551" s="2" t="s">
        <v>32</v>
      </c>
      <c r="I551" s="2">
        <v>47.856769</v>
      </c>
      <c r="J551" s="2">
        <v>15.076411</v>
      </c>
      <c r="K551" s="2" t="str">
        <f t="shared" si="33"/>
        <v>Available</v>
      </c>
      <c r="L551" s="2" t="s">
        <v>10</v>
      </c>
      <c r="M551" s="3">
        <v>45389</v>
      </c>
      <c r="N551" s="3" t="str">
        <f t="shared" si="34"/>
        <v>April</v>
      </c>
      <c r="O551" s="2" t="s">
        <v>12</v>
      </c>
      <c r="P551" t="str">
        <f t="shared" si="35"/>
        <v>OK</v>
      </c>
    </row>
    <row r="552" spans="1:16" x14ac:dyDescent="0.3">
      <c r="A552" s="2">
        <f t="shared" si="32"/>
        <v>551</v>
      </c>
      <c r="B552" s="2" t="s">
        <v>29</v>
      </c>
      <c r="C552" s="2" t="s">
        <v>17</v>
      </c>
      <c r="D552" s="1">
        <v>0.33300000000000002</v>
      </c>
      <c r="E552" s="1" t="str" cm="1">
        <f t="array" ref="E552">_xlfn.IFS(
D552&lt;20,"Light",
D552&lt;50,"Medium",
D552&lt;100,"Heavy",
D552&gt;=100,"Very Heavy")</f>
        <v>Light</v>
      </c>
      <c r="F552" s="2">
        <v>22</v>
      </c>
      <c r="G552" s="2" t="str" cm="1">
        <f t="array" ref="G552">_xlfn.IFS(
F552&lt;50,"Small",
F552&lt;100,"Medium",
F552&lt;150,"Large",
F552&gt;=150,"Very Large"
)</f>
        <v>Small</v>
      </c>
      <c r="H552" s="2" t="s">
        <v>33</v>
      </c>
      <c r="I552" s="2">
        <v>47.855378999999999</v>
      </c>
      <c r="J552" s="2">
        <v>15.077237</v>
      </c>
      <c r="K552" s="2" t="str">
        <f t="shared" si="33"/>
        <v>Available</v>
      </c>
      <c r="L552" s="2" t="s">
        <v>16</v>
      </c>
      <c r="M552" s="3">
        <v>45389</v>
      </c>
      <c r="N552" s="3" t="str">
        <f t="shared" si="34"/>
        <v>April</v>
      </c>
      <c r="O552" s="2" t="s">
        <v>12</v>
      </c>
      <c r="P552" t="str">
        <f t="shared" si="35"/>
        <v>OK</v>
      </c>
    </row>
    <row r="553" spans="1:16" x14ac:dyDescent="0.3">
      <c r="A553" s="2">
        <f t="shared" si="32"/>
        <v>552</v>
      </c>
      <c r="B553" s="2" t="s">
        <v>29</v>
      </c>
      <c r="C553" s="2" t="s">
        <v>17</v>
      </c>
      <c r="D553" s="1">
        <v>0.32300000000000001</v>
      </c>
      <c r="E553" s="1" t="str" cm="1">
        <f t="array" ref="E553">_xlfn.IFS(
D553&lt;20,"Light",
D553&lt;50,"Medium",
D553&lt;100,"Heavy",
D553&gt;=100,"Very Heavy")</f>
        <v>Light</v>
      </c>
      <c r="F553" s="2">
        <v>23</v>
      </c>
      <c r="G553" s="2" t="str" cm="1">
        <f t="array" ref="G553">_xlfn.IFS(
F553&lt;50,"Small",
F553&lt;100,"Medium",
F553&lt;150,"Large",
F553&gt;=150,"Very Large"
)</f>
        <v>Small</v>
      </c>
      <c r="H553" s="2" t="s">
        <v>32</v>
      </c>
      <c r="I553" s="2">
        <v>47.856014999999999</v>
      </c>
      <c r="J553" s="2">
        <v>15.08325</v>
      </c>
      <c r="K553" s="2" t="str">
        <f t="shared" si="33"/>
        <v>Available</v>
      </c>
      <c r="L553" s="2" t="s">
        <v>10</v>
      </c>
      <c r="M553" s="3">
        <v>45389</v>
      </c>
      <c r="N553" s="3" t="str">
        <f t="shared" si="34"/>
        <v>April</v>
      </c>
      <c r="O553" s="2" t="s">
        <v>12</v>
      </c>
      <c r="P553" t="str">
        <f t="shared" si="35"/>
        <v>OK</v>
      </c>
    </row>
    <row r="554" spans="1:16" x14ac:dyDescent="0.3">
      <c r="A554" s="2">
        <f t="shared" si="32"/>
        <v>553</v>
      </c>
      <c r="B554" s="2" t="s">
        <v>30</v>
      </c>
      <c r="C554" s="2" t="s">
        <v>13</v>
      </c>
      <c r="D554" s="1">
        <v>1.1000000000000001</v>
      </c>
      <c r="E554" s="1" t="str" cm="1">
        <f t="array" ref="E554">_xlfn.IFS(
D554&lt;20,"Light",
D554&lt;50,"Medium",
D554&lt;100,"Heavy",
D554&gt;=100,"Very Heavy")</f>
        <v>Light</v>
      </c>
      <c r="F554" s="2">
        <v>16</v>
      </c>
      <c r="G554" s="2" t="str" cm="1">
        <f t="array" ref="G554">_xlfn.IFS(
F554&lt;50,"Small",
F554&lt;100,"Medium",
F554&lt;150,"Large",
F554&gt;=150,"Very Large"
)</f>
        <v>Small</v>
      </c>
      <c r="H554" s="2" t="s">
        <v>33</v>
      </c>
      <c r="I554" s="2">
        <v>48.413153999999999</v>
      </c>
      <c r="J554" s="2">
        <v>18.875356</v>
      </c>
      <c r="K554" s="2" t="str">
        <f t="shared" si="33"/>
        <v>Available</v>
      </c>
      <c r="L554" s="2" t="s">
        <v>10</v>
      </c>
      <c r="M554" s="3">
        <v>45389</v>
      </c>
      <c r="N554" s="3" t="str">
        <f t="shared" si="34"/>
        <v>April</v>
      </c>
      <c r="O554" s="2" t="s">
        <v>14</v>
      </c>
      <c r="P554" t="str">
        <f t="shared" si="35"/>
        <v>OK</v>
      </c>
    </row>
    <row r="555" spans="1:16" x14ac:dyDescent="0.3">
      <c r="A555" s="2">
        <f t="shared" si="32"/>
        <v>554</v>
      </c>
      <c r="B555" s="2" t="s">
        <v>29</v>
      </c>
      <c r="C555" s="2" t="s">
        <v>4</v>
      </c>
      <c r="D555" s="1">
        <v>0.26500000000000001</v>
      </c>
      <c r="E555" s="1" t="str" cm="1">
        <f t="array" ref="E555">_xlfn.IFS(
D555&lt;20,"Light",
D555&lt;50,"Medium",
D555&lt;100,"Heavy",
D555&gt;=100,"Very Heavy")</f>
        <v>Light</v>
      </c>
      <c r="F555" s="2">
        <v>22</v>
      </c>
      <c r="G555" s="2" t="str" cm="1">
        <f t="array" ref="G555">_xlfn.IFS(
F555&lt;50,"Small",
F555&lt;100,"Medium",
F555&lt;150,"Large",
F555&gt;=150,"Very Large"
)</f>
        <v>Small</v>
      </c>
      <c r="H555" s="2" t="s">
        <v>33</v>
      </c>
      <c r="I555" s="2">
        <v>50.041147000000002</v>
      </c>
      <c r="J555" s="2">
        <v>19.95046</v>
      </c>
      <c r="K555" s="2" t="str">
        <f t="shared" si="33"/>
        <v>Available</v>
      </c>
      <c r="L555" s="2" t="s">
        <v>10</v>
      </c>
      <c r="M555" s="3">
        <v>45390</v>
      </c>
      <c r="N555" s="3" t="str">
        <f t="shared" si="34"/>
        <v>April</v>
      </c>
      <c r="O555" s="2" t="s">
        <v>6</v>
      </c>
      <c r="P555" t="str">
        <f t="shared" si="35"/>
        <v>OK</v>
      </c>
    </row>
    <row r="556" spans="1:16" x14ac:dyDescent="0.3">
      <c r="A556" s="2">
        <f t="shared" si="32"/>
        <v>555</v>
      </c>
      <c r="B556" s="2" t="s">
        <v>29</v>
      </c>
      <c r="C556" s="2" t="s">
        <v>17</v>
      </c>
      <c r="D556" s="1">
        <v>0.27</v>
      </c>
      <c r="E556" s="1" t="str" cm="1">
        <f t="array" ref="E556">_xlfn.IFS(
D556&lt;20,"Light",
D556&lt;50,"Medium",
D556&lt;100,"Heavy",
D556&gt;=100,"Very Heavy")</f>
        <v>Light</v>
      </c>
      <c r="F556" s="2">
        <v>23</v>
      </c>
      <c r="G556" s="2" t="str" cm="1">
        <f t="array" ref="G556">_xlfn.IFS(
F556&lt;50,"Small",
F556&lt;100,"Medium",
F556&lt;150,"Large",
F556&gt;=150,"Very Large"
)</f>
        <v>Small</v>
      </c>
      <c r="H556" s="2" t="s">
        <v>33</v>
      </c>
      <c r="I556" s="2">
        <v>47.853881000000001</v>
      </c>
      <c r="J556" s="2">
        <v>15.078367</v>
      </c>
      <c r="K556" s="2" t="str">
        <f t="shared" si="33"/>
        <v>Available</v>
      </c>
      <c r="L556" s="2" t="s">
        <v>10</v>
      </c>
      <c r="M556" s="3">
        <v>45390</v>
      </c>
      <c r="N556" s="3" t="str">
        <f t="shared" si="34"/>
        <v>April</v>
      </c>
      <c r="O556" s="2" t="s">
        <v>12</v>
      </c>
      <c r="P556" t="str">
        <f t="shared" si="35"/>
        <v>OK</v>
      </c>
    </row>
    <row r="557" spans="1:16" x14ac:dyDescent="0.3">
      <c r="A557" s="2">
        <f t="shared" si="32"/>
        <v>556</v>
      </c>
      <c r="B557" s="2" t="s">
        <v>29</v>
      </c>
      <c r="C557" s="2" t="s">
        <v>17</v>
      </c>
      <c r="D557" s="1">
        <v>0.29899999999999999</v>
      </c>
      <c r="E557" s="1" t="str" cm="1">
        <f t="array" ref="E557">_xlfn.IFS(
D557&lt;20,"Light",
D557&lt;50,"Medium",
D557&lt;100,"Heavy",
D557&gt;=100,"Very Heavy")</f>
        <v>Light</v>
      </c>
      <c r="F557" s="2">
        <v>19</v>
      </c>
      <c r="G557" s="2" t="str" cm="1">
        <f t="array" ref="G557">_xlfn.IFS(
F557&lt;50,"Small",
F557&lt;100,"Medium",
F557&lt;150,"Large",
F557&gt;=150,"Very Large"
)</f>
        <v>Small</v>
      </c>
      <c r="H557" s="2" t="s">
        <v>33</v>
      </c>
      <c r="I557" s="2">
        <v>47.854855000000001</v>
      </c>
      <c r="J557" s="2">
        <v>15.082167999999999</v>
      </c>
      <c r="K557" s="2" t="str">
        <f t="shared" si="33"/>
        <v>Available</v>
      </c>
      <c r="L557" s="2" t="s">
        <v>21</v>
      </c>
      <c r="M557" s="3">
        <v>45390</v>
      </c>
      <c r="N557" s="3" t="str">
        <f t="shared" si="34"/>
        <v>April</v>
      </c>
      <c r="O557" s="2" t="s">
        <v>12</v>
      </c>
      <c r="P557" t="str">
        <f t="shared" si="35"/>
        <v>OK</v>
      </c>
    </row>
    <row r="558" spans="1:16" x14ac:dyDescent="0.3">
      <c r="A558" s="2">
        <f t="shared" si="32"/>
        <v>557</v>
      </c>
      <c r="B558" s="2" t="s">
        <v>29</v>
      </c>
      <c r="C558" s="2" t="s">
        <v>17</v>
      </c>
      <c r="D558" s="1">
        <v>0.3</v>
      </c>
      <c r="E558" s="1" t="str" cm="1">
        <f t="array" ref="E558">_xlfn.IFS(
D558&lt;20,"Light",
D558&lt;50,"Medium",
D558&lt;100,"Heavy",
D558&gt;=100,"Very Heavy")</f>
        <v>Light</v>
      </c>
      <c r="F558" s="2">
        <v>21</v>
      </c>
      <c r="G558" s="2" t="str" cm="1">
        <f t="array" ref="G558">_xlfn.IFS(
F558&lt;50,"Small",
F558&lt;100,"Medium",
F558&lt;150,"Large",
F558&gt;=150,"Very Large"
)</f>
        <v>Small</v>
      </c>
      <c r="H558" s="2" t="s">
        <v>32</v>
      </c>
      <c r="I558" s="2">
        <v>47.855215999999999</v>
      </c>
      <c r="J558" s="2">
        <v>15.078877</v>
      </c>
      <c r="K558" s="2" t="str">
        <f t="shared" si="33"/>
        <v>Available</v>
      </c>
      <c r="L558" s="2" t="s">
        <v>10</v>
      </c>
      <c r="M558" s="3">
        <v>45390</v>
      </c>
      <c r="N558" s="3" t="str">
        <f t="shared" si="34"/>
        <v>April</v>
      </c>
      <c r="O558" s="2" t="s">
        <v>12</v>
      </c>
      <c r="P558" t="str">
        <f t="shared" si="35"/>
        <v>OK</v>
      </c>
    </row>
    <row r="559" spans="1:16" x14ac:dyDescent="0.3">
      <c r="A559" s="2">
        <f t="shared" si="32"/>
        <v>558</v>
      </c>
      <c r="B559" s="2" t="s">
        <v>29</v>
      </c>
      <c r="C559" s="2" t="s">
        <v>17</v>
      </c>
      <c r="D559" s="1">
        <v>0.33800000000000002</v>
      </c>
      <c r="E559" s="1" t="str" cm="1">
        <f t="array" ref="E559">_xlfn.IFS(
D559&lt;20,"Light",
D559&lt;50,"Medium",
D559&lt;100,"Heavy",
D559&gt;=100,"Very Heavy")</f>
        <v>Light</v>
      </c>
      <c r="F559" s="2">
        <v>19</v>
      </c>
      <c r="G559" s="2" t="str" cm="1">
        <f t="array" ref="G559">_xlfn.IFS(
F559&lt;50,"Small",
F559&lt;100,"Medium",
F559&lt;150,"Large",
F559&gt;=150,"Very Large"
)</f>
        <v>Small</v>
      </c>
      <c r="H559" s="2" t="s">
        <v>32</v>
      </c>
      <c r="I559" s="2">
        <v>47.857495</v>
      </c>
      <c r="J559" s="2">
        <v>15.078950000000001</v>
      </c>
      <c r="K559" s="2" t="str">
        <f t="shared" si="33"/>
        <v>Available</v>
      </c>
      <c r="L559" s="2" t="s">
        <v>10</v>
      </c>
      <c r="M559" s="3">
        <v>45390</v>
      </c>
      <c r="N559" s="3" t="str">
        <f t="shared" si="34"/>
        <v>April</v>
      </c>
      <c r="O559" s="2" t="s">
        <v>12</v>
      </c>
      <c r="P559" t="str">
        <f t="shared" si="35"/>
        <v>OK</v>
      </c>
    </row>
    <row r="560" spans="1:16" x14ac:dyDescent="0.3">
      <c r="A560" s="2">
        <f t="shared" si="32"/>
        <v>559</v>
      </c>
      <c r="B560" s="2" t="s">
        <v>29</v>
      </c>
      <c r="C560" s="2" t="s">
        <v>17</v>
      </c>
      <c r="D560" s="1">
        <v>0.28499999999999998</v>
      </c>
      <c r="E560" s="1" t="str" cm="1">
        <f t="array" ref="E560">_xlfn.IFS(
D560&lt;20,"Light",
D560&lt;50,"Medium",
D560&lt;100,"Heavy",
D560&gt;=100,"Very Heavy")</f>
        <v>Light</v>
      </c>
      <c r="F560" s="2">
        <v>21</v>
      </c>
      <c r="G560" s="2" t="str" cm="1">
        <f t="array" ref="G560">_xlfn.IFS(
F560&lt;50,"Small",
F560&lt;100,"Medium",
F560&lt;150,"Large",
F560&gt;=150,"Very Large"
)</f>
        <v>Small</v>
      </c>
      <c r="H560" s="2" t="s">
        <v>33</v>
      </c>
      <c r="I560" s="2">
        <v>47.853875000000002</v>
      </c>
      <c r="J560" s="2">
        <v>15.078745</v>
      </c>
      <c r="K560" s="2" t="str">
        <f t="shared" si="33"/>
        <v>Available</v>
      </c>
      <c r="L560" s="2" t="s">
        <v>10</v>
      </c>
      <c r="M560" s="3">
        <v>45390</v>
      </c>
      <c r="N560" s="3" t="str">
        <f t="shared" si="34"/>
        <v>April</v>
      </c>
      <c r="O560" s="2" t="s">
        <v>12</v>
      </c>
      <c r="P560" t="str">
        <f t="shared" si="35"/>
        <v>OK</v>
      </c>
    </row>
    <row r="561" spans="1:16" x14ac:dyDescent="0.3">
      <c r="A561" s="2">
        <f t="shared" si="32"/>
        <v>560</v>
      </c>
      <c r="B561" s="2" t="s">
        <v>29</v>
      </c>
      <c r="C561" s="2" t="s">
        <v>17</v>
      </c>
      <c r="D561" s="1">
        <v>0.33300000000000002</v>
      </c>
      <c r="E561" s="1" t="str" cm="1">
        <f t="array" ref="E561">_xlfn.IFS(
D561&lt;20,"Light",
D561&lt;50,"Medium",
D561&lt;100,"Heavy",
D561&gt;=100,"Very Heavy")</f>
        <v>Light</v>
      </c>
      <c r="F561" s="2">
        <v>19</v>
      </c>
      <c r="G561" s="2" t="str" cm="1">
        <f t="array" ref="G561">_xlfn.IFS(
F561&lt;50,"Small",
F561&lt;100,"Medium",
F561&lt;150,"Large",
F561&gt;=150,"Very Large"
)</f>
        <v>Small</v>
      </c>
      <c r="H561" s="2" t="s">
        <v>33</v>
      </c>
      <c r="I561" s="2">
        <v>47.854756000000002</v>
      </c>
      <c r="J561" s="2">
        <v>15.082891999999999</v>
      </c>
      <c r="K561" s="2" t="str">
        <f t="shared" si="33"/>
        <v>Available</v>
      </c>
      <c r="L561" s="2" t="s">
        <v>21</v>
      </c>
      <c r="M561" s="3">
        <v>45390</v>
      </c>
      <c r="N561" s="3" t="str">
        <f t="shared" si="34"/>
        <v>April</v>
      </c>
      <c r="O561" s="2" t="s">
        <v>12</v>
      </c>
      <c r="P561" t="str">
        <f t="shared" si="35"/>
        <v>OK</v>
      </c>
    </row>
    <row r="562" spans="1:16" x14ac:dyDescent="0.3">
      <c r="A562" s="2">
        <f t="shared" si="32"/>
        <v>561</v>
      </c>
      <c r="B562" s="2" t="s">
        <v>29</v>
      </c>
      <c r="C562" s="2" t="s">
        <v>17</v>
      </c>
      <c r="D562" s="1">
        <v>0.32300000000000001</v>
      </c>
      <c r="E562" s="1" t="str" cm="1">
        <f t="array" ref="E562">_xlfn.IFS(
D562&lt;20,"Light",
D562&lt;50,"Medium",
D562&lt;100,"Heavy",
D562&gt;=100,"Very Heavy")</f>
        <v>Light</v>
      </c>
      <c r="F562" s="2">
        <v>23</v>
      </c>
      <c r="G562" s="2" t="str" cm="1">
        <f t="array" ref="G562">_xlfn.IFS(
F562&lt;50,"Small",
F562&lt;100,"Medium",
F562&lt;150,"Large",
F562&gt;=150,"Very Large"
)</f>
        <v>Small</v>
      </c>
      <c r="H562" s="2" t="s">
        <v>32</v>
      </c>
      <c r="I562" s="2">
        <v>47.854098999999998</v>
      </c>
      <c r="J562" s="2">
        <v>15.076812</v>
      </c>
      <c r="K562" s="2" t="str">
        <f t="shared" si="33"/>
        <v>Available</v>
      </c>
      <c r="L562" s="2" t="s">
        <v>10</v>
      </c>
      <c r="M562" s="3">
        <v>45390</v>
      </c>
      <c r="N562" s="3" t="str">
        <f t="shared" si="34"/>
        <v>April</v>
      </c>
      <c r="O562" s="2" t="s">
        <v>12</v>
      </c>
      <c r="P562" t="str">
        <f t="shared" si="35"/>
        <v>OK</v>
      </c>
    </row>
    <row r="563" spans="1:16" x14ac:dyDescent="0.3">
      <c r="A563" s="2">
        <f t="shared" si="32"/>
        <v>562</v>
      </c>
      <c r="B563" s="2" t="s">
        <v>27</v>
      </c>
      <c r="C563" s="2" t="s">
        <v>15</v>
      </c>
      <c r="D563" s="1">
        <v>560</v>
      </c>
      <c r="E563" s="1" t="str" cm="1">
        <f t="array" ref="E563">_xlfn.IFS(
D563&lt;20,"Light",
D563&lt;50,"Medium",
D563&lt;100,"Heavy",
D563&gt;=100,"Very Heavy")</f>
        <v>Very Heavy</v>
      </c>
      <c r="F563" s="2">
        <v>250</v>
      </c>
      <c r="G563" s="2" t="str" cm="1">
        <f t="array" ref="G563">_xlfn.IFS(
F563&lt;50,"Small",
F563&lt;100,"Medium",
F563&lt;150,"Large",
F563&gt;=150,"Very Large"
)</f>
        <v>Very Large</v>
      </c>
      <c r="H563" s="2" t="s">
        <v>33</v>
      </c>
      <c r="I563" s="2">
        <v>50.645077000000001</v>
      </c>
      <c r="J563" s="2">
        <v>14.840304</v>
      </c>
      <c r="K563" s="2" t="str">
        <f t="shared" si="33"/>
        <v>Available</v>
      </c>
      <c r="L563" s="2" t="s">
        <v>10</v>
      </c>
      <c r="M563" s="3">
        <v>45390</v>
      </c>
      <c r="N563" s="3" t="str">
        <f t="shared" si="34"/>
        <v>April</v>
      </c>
      <c r="O563" s="2" t="s">
        <v>14</v>
      </c>
      <c r="P563" t="str">
        <f t="shared" si="35"/>
        <v>OK</v>
      </c>
    </row>
    <row r="564" spans="1:16" x14ac:dyDescent="0.3">
      <c r="A564" s="2">
        <f t="shared" si="32"/>
        <v>563</v>
      </c>
      <c r="B564" s="2" t="s">
        <v>30</v>
      </c>
      <c r="C564" s="2" t="s">
        <v>13</v>
      </c>
      <c r="D564" s="1">
        <v>1.1000000000000001</v>
      </c>
      <c r="E564" s="1" t="str" cm="1">
        <f t="array" ref="E564">_xlfn.IFS(
D564&lt;20,"Light",
D564&lt;50,"Medium",
D564&lt;100,"Heavy",
D564&gt;=100,"Very Heavy")</f>
        <v>Light</v>
      </c>
      <c r="F564" s="2">
        <v>25</v>
      </c>
      <c r="G564" s="2" t="str" cm="1">
        <f t="array" ref="G564">_xlfn.IFS(
F564&lt;50,"Small",
F564&lt;100,"Medium",
F564&lt;150,"Large",
F564&gt;=150,"Very Large"
)</f>
        <v>Small</v>
      </c>
      <c r="H564" s="2" t="s">
        <v>32</v>
      </c>
      <c r="I564" s="2">
        <v>48.412590000000002</v>
      </c>
      <c r="J564" s="2">
        <v>18.87302</v>
      </c>
      <c r="K564" s="2" t="str">
        <f t="shared" si="33"/>
        <v>Available</v>
      </c>
      <c r="L564" s="2" t="s">
        <v>10</v>
      </c>
      <c r="M564" s="3">
        <v>45390</v>
      </c>
      <c r="N564" s="3" t="str">
        <f t="shared" si="34"/>
        <v>April</v>
      </c>
      <c r="O564" s="2" t="s">
        <v>14</v>
      </c>
      <c r="P564" t="str">
        <f t="shared" si="35"/>
        <v>OK</v>
      </c>
    </row>
    <row r="565" spans="1:16" x14ac:dyDescent="0.3">
      <c r="A565" s="2">
        <f t="shared" si="32"/>
        <v>564</v>
      </c>
      <c r="B565" s="2" t="s">
        <v>29</v>
      </c>
      <c r="C565" s="2" t="s">
        <v>13</v>
      </c>
      <c r="D565" s="1">
        <v>0.297366504854368</v>
      </c>
      <c r="E565" s="1" t="str" cm="1">
        <f t="array" ref="E565">_xlfn.IFS(
D565&lt;20,"Light",
D565&lt;50,"Medium",
D565&lt;100,"Heavy",
D565&gt;=100,"Very Heavy")</f>
        <v>Light</v>
      </c>
      <c r="F565" s="2">
        <v>21</v>
      </c>
      <c r="G565" s="2" t="str" cm="1">
        <f t="array" ref="G565">_xlfn.IFS(
F565&lt;50,"Small",
F565&lt;100,"Medium",
F565&lt;150,"Large",
F565&gt;=150,"Very Large"
)</f>
        <v>Small</v>
      </c>
      <c r="H565" s="2" t="s">
        <v>32</v>
      </c>
      <c r="I565" s="2">
        <v>49.057599000000003</v>
      </c>
      <c r="J565" s="2">
        <v>22.422203</v>
      </c>
      <c r="K565" s="2" t="str">
        <f t="shared" si="33"/>
        <v>Available</v>
      </c>
      <c r="L565" s="2" t="s">
        <v>10</v>
      </c>
      <c r="M565" s="3">
        <v>45390</v>
      </c>
      <c r="N565" s="3" t="str">
        <f t="shared" si="34"/>
        <v>April</v>
      </c>
      <c r="O565" s="2" t="s">
        <v>14</v>
      </c>
      <c r="P565" t="str">
        <f t="shared" si="35"/>
        <v>OK</v>
      </c>
    </row>
    <row r="566" spans="1:16" x14ac:dyDescent="0.3">
      <c r="A566" s="2">
        <f t="shared" si="32"/>
        <v>565</v>
      </c>
      <c r="B566" s="2" t="s">
        <v>29</v>
      </c>
      <c r="C566" s="2" t="s">
        <v>13</v>
      </c>
      <c r="D566" s="1">
        <v>0.26</v>
      </c>
      <c r="E566" s="1" t="str" cm="1">
        <f t="array" ref="E566">_xlfn.IFS(
D566&lt;20,"Light",
D566&lt;50,"Medium",
D566&lt;100,"Heavy",
D566&gt;=100,"Very Heavy")</f>
        <v>Light</v>
      </c>
      <c r="F566" s="2">
        <v>18</v>
      </c>
      <c r="G566" s="2" t="str" cm="1">
        <f t="array" ref="G566">_xlfn.IFS(
F566&lt;50,"Small",
F566&lt;100,"Medium",
F566&lt;150,"Large",
F566&gt;=150,"Very Large"
)</f>
        <v>Small</v>
      </c>
      <c r="H566" s="2" t="s">
        <v>32</v>
      </c>
      <c r="I566" s="2">
        <v>49.053175000000003</v>
      </c>
      <c r="J566" s="2">
        <v>22.414666</v>
      </c>
      <c r="K566" s="2" t="str">
        <f t="shared" si="33"/>
        <v>Available</v>
      </c>
      <c r="L566" s="2" t="s">
        <v>10</v>
      </c>
      <c r="M566" s="3">
        <v>45390</v>
      </c>
      <c r="N566" s="3" t="str">
        <f t="shared" si="34"/>
        <v>April</v>
      </c>
      <c r="O566" s="2" t="s">
        <v>14</v>
      </c>
      <c r="P566" t="str">
        <f t="shared" si="35"/>
        <v>OK</v>
      </c>
    </row>
    <row r="567" spans="1:16" x14ac:dyDescent="0.3">
      <c r="A567" s="2">
        <f t="shared" si="32"/>
        <v>566</v>
      </c>
      <c r="B567" s="2" t="s">
        <v>29</v>
      </c>
      <c r="C567" s="2" t="s">
        <v>13</v>
      </c>
      <c r="D567" s="1">
        <v>0.32900000000000001</v>
      </c>
      <c r="E567" s="1" t="str" cm="1">
        <f t="array" ref="E567">_xlfn.IFS(
D567&lt;20,"Light",
D567&lt;50,"Medium",
D567&lt;100,"Heavy",
D567&gt;=100,"Very Heavy")</f>
        <v>Light</v>
      </c>
      <c r="F567" s="2">
        <v>20</v>
      </c>
      <c r="G567" s="2" t="str" cm="1">
        <f t="array" ref="G567">_xlfn.IFS(
F567&lt;50,"Small",
F567&lt;100,"Medium",
F567&lt;150,"Large",
F567&gt;=150,"Very Large"
)</f>
        <v>Small</v>
      </c>
      <c r="H567" s="2" t="s">
        <v>32</v>
      </c>
      <c r="I567" s="2">
        <v>49.054662999999998</v>
      </c>
      <c r="J567" s="2">
        <v>22.412082000000002</v>
      </c>
      <c r="K567" s="2" t="str">
        <f t="shared" si="33"/>
        <v>Available</v>
      </c>
      <c r="L567" s="2" t="s">
        <v>10</v>
      </c>
      <c r="M567" s="3">
        <v>45390</v>
      </c>
      <c r="N567" s="3" t="str">
        <f t="shared" si="34"/>
        <v>April</v>
      </c>
      <c r="O567" s="2" t="s">
        <v>14</v>
      </c>
      <c r="P567" t="str">
        <f t="shared" si="35"/>
        <v>OK</v>
      </c>
    </row>
    <row r="568" spans="1:16" x14ac:dyDescent="0.3">
      <c r="A568" s="2">
        <f t="shared" si="32"/>
        <v>567</v>
      </c>
      <c r="B568" s="2" t="s">
        <v>29</v>
      </c>
      <c r="C568" s="2" t="s">
        <v>13</v>
      </c>
      <c r="D568" s="1">
        <v>0.33</v>
      </c>
      <c r="E568" s="1" t="str" cm="1">
        <f t="array" ref="E568">_xlfn.IFS(
D568&lt;20,"Light",
D568&lt;50,"Medium",
D568&lt;100,"Heavy",
D568&gt;=100,"Very Heavy")</f>
        <v>Light</v>
      </c>
      <c r="F568" s="2">
        <v>21</v>
      </c>
      <c r="G568" s="2" t="str" cm="1">
        <f t="array" ref="G568">_xlfn.IFS(
F568&lt;50,"Small",
F568&lt;100,"Medium",
F568&lt;150,"Large",
F568&gt;=150,"Very Large"
)</f>
        <v>Small</v>
      </c>
      <c r="H568" s="2" t="s">
        <v>33</v>
      </c>
      <c r="I568" s="2">
        <v>49.055275000000002</v>
      </c>
      <c r="J568" s="2">
        <v>22.414210000000001</v>
      </c>
      <c r="K568" s="2" t="str">
        <f t="shared" si="33"/>
        <v>Available</v>
      </c>
      <c r="L568" s="2" t="s">
        <v>10</v>
      </c>
      <c r="M568" s="3">
        <v>45390</v>
      </c>
      <c r="N568" s="3" t="str">
        <f t="shared" si="34"/>
        <v>April</v>
      </c>
      <c r="O568" s="2" t="s">
        <v>14</v>
      </c>
      <c r="P568" t="str">
        <f t="shared" si="35"/>
        <v>OK</v>
      </c>
    </row>
    <row r="569" spans="1:16" x14ac:dyDescent="0.3">
      <c r="A569" s="2">
        <f t="shared" si="32"/>
        <v>568</v>
      </c>
      <c r="B569" s="2" t="s">
        <v>29</v>
      </c>
      <c r="C569" s="2" t="s">
        <v>13</v>
      </c>
      <c r="D569" s="1">
        <v>0.27100000000000002</v>
      </c>
      <c r="E569" s="1" t="str" cm="1">
        <f t="array" ref="E569">_xlfn.IFS(
D569&lt;20,"Light",
D569&lt;50,"Medium",
D569&lt;100,"Heavy",
D569&gt;=100,"Very Heavy")</f>
        <v>Light</v>
      </c>
      <c r="F569" s="2">
        <v>23</v>
      </c>
      <c r="G569" s="2" t="str" cm="1">
        <f t="array" ref="G569">_xlfn.IFS(
F569&lt;50,"Small",
F569&lt;100,"Medium",
F569&lt;150,"Large",
F569&gt;=150,"Very Large"
)</f>
        <v>Small</v>
      </c>
      <c r="H569" s="2" t="s">
        <v>32</v>
      </c>
      <c r="I569" s="2">
        <v>49.052914000000001</v>
      </c>
      <c r="J569" s="2">
        <v>22.422989999999999</v>
      </c>
      <c r="K569" s="2" t="str">
        <f t="shared" si="33"/>
        <v>Available</v>
      </c>
      <c r="L569" s="2" t="s">
        <v>10</v>
      </c>
      <c r="M569" s="3">
        <v>45390</v>
      </c>
      <c r="N569" s="3" t="str">
        <f t="shared" si="34"/>
        <v>April</v>
      </c>
      <c r="O569" s="2" t="s">
        <v>14</v>
      </c>
      <c r="P569" t="str">
        <f t="shared" si="35"/>
        <v>OK</v>
      </c>
    </row>
    <row r="570" spans="1:16" x14ac:dyDescent="0.3">
      <c r="A570" s="2">
        <f t="shared" si="32"/>
        <v>569</v>
      </c>
      <c r="B570" s="2" t="s">
        <v>29</v>
      </c>
      <c r="C570" s="2" t="s">
        <v>13</v>
      </c>
      <c r="D570" s="1">
        <v>0.29799999999999999</v>
      </c>
      <c r="E570" s="1" t="str" cm="1">
        <f t="array" ref="E570">_xlfn.IFS(
D570&lt;20,"Light",
D570&lt;50,"Medium",
D570&lt;100,"Heavy",
D570&gt;=100,"Very Heavy")</f>
        <v>Light</v>
      </c>
      <c r="F570" s="2">
        <v>18</v>
      </c>
      <c r="G570" s="2" t="str" cm="1">
        <f t="array" ref="G570">_xlfn.IFS(
F570&lt;50,"Small",
F570&lt;100,"Medium",
F570&lt;150,"Large",
F570&gt;=150,"Very Large"
)</f>
        <v>Small</v>
      </c>
      <c r="H570" s="2" t="s">
        <v>33</v>
      </c>
      <c r="I570" s="2">
        <v>49.055453</v>
      </c>
      <c r="J570" s="2">
        <v>22.423535999999999</v>
      </c>
      <c r="K570" s="2" t="str">
        <f t="shared" si="33"/>
        <v>Available</v>
      </c>
      <c r="L570" s="2" t="s">
        <v>10</v>
      </c>
      <c r="M570" s="3">
        <v>45390</v>
      </c>
      <c r="N570" s="3" t="str">
        <f t="shared" si="34"/>
        <v>April</v>
      </c>
      <c r="O570" s="2" t="s">
        <v>14</v>
      </c>
      <c r="P570" t="str">
        <f t="shared" si="35"/>
        <v>OK</v>
      </c>
    </row>
    <row r="571" spans="1:16" x14ac:dyDescent="0.3">
      <c r="A571" s="2">
        <f t="shared" si="32"/>
        <v>570</v>
      </c>
      <c r="B571" s="2" t="s">
        <v>29</v>
      </c>
      <c r="C571" s="2" t="s">
        <v>13</v>
      </c>
      <c r="D571" s="1">
        <v>0.28100000000000003</v>
      </c>
      <c r="E571" s="1" t="str" cm="1">
        <f t="array" ref="E571">_xlfn.IFS(
D571&lt;20,"Light",
D571&lt;50,"Medium",
D571&lt;100,"Heavy",
D571&gt;=100,"Very Heavy")</f>
        <v>Light</v>
      </c>
      <c r="F571" s="2">
        <v>23</v>
      </c>
      <c r="G571" s="2" t="str" cm="1">
        <f t="array" ref="G571">_xlfn.IFS(
F571&lt;50,"Small",
F571&lt;100,"Medium",
F571&lt;150,"Large",
F571&gt;=150,"Very Large"
)</f>
        <v>Small</v>
      </c>
      <c r="H571" s="2" t="s">
        <v>32</v>
      </c>
      <c r="I571" s="2">
        <v>49.056583000000003</v>
      </c>
      <c r="J571" s="2">
        <v>22.415431999999999</v>
      </c>
      <c r="K571" s="2" t="str">
        <f t="shared" si="33"/>
        <v>Available</v>
      </c>
      <c r="L571" s="2" t="s">
        <v>10</v>
      </c>
      <c r="M571" s="3">
        <v>45390</v>
      </c>
      <c r="N571" s="3" t="str">
        <f t="shared" si="34"/>
        <v>April</v>
      </c>
      <c r="O571" s="2" t="s">
        <v>14</v>
      </c>
      <c r="P571" t="str">
        <f t="shared" si="35"/>
        <v>OK</v>
      </c>
    </row>
    <row r="572" spans="1:16" x14ac:dyDescent="0.3">
      <c r="A572" s="2">
        <f t="shared" si="32"/>
        <v>571</v>
      </c>
      <c r="B572" s="2" t="s">
        <v>29</v>
      </c>
      <c r="C572" s="2" t="s">
        <v>13</v>
      </c>
      <c r="D572" s="1">
        <v>0.316</v>
      </c>
      <c r="E572" s="1" t="str" cm="1">
        <f t="array" ref="E572">_xlfn.IFS(
D572&lt;20,"Light",
D572&lt;50,"Medium",
D572&lt;100,"Heavy",
D572&gt;=100,"Very Heavy")</f>
        <v>Light</v>
      </c>
      <c r="F572" s="2">
        <v>22</v>
      </c>
      <c r="G572" s="2" t="str" cm="1">
        <f t="array" ref="G572">_xlfn.IFS(
F572&lt;50,"Small",
F572&lt;100,"Medium",
F572&lt;150,"Large",
F572&gt;=150,"Very Large"
)</f>
        <v>Small</v>
      </c>
      <c r="H572" s="2" t="s">
        <v>33</v>
      </c>
      <c r="I572" s="2">
        <v>49.054586</v>
      </c>
      <c r="J572" s="2">
        <v>22.413679999999999</v>
      </c>
      <c r="K572" s="2" t="str">
        <f t="shared" si="33"/>
        <v>Available</v>
      </c>
      <c r="L572" s="2" t="s">
        <v>10</v>
      </c>
      <c r="M572" s="3">
        <v>45390</v>
      </c>
      <c r="N572" s="3" t="str">
        <f t="shared" si="34"/>
        <v>April</v>
      </c>
      <c r="O572" s="2" t="s">
        <v>14</v>
      </c>
      <c r="P572" t="str">
        <f t="shared" si="35"/>
        <v>OK</v>
      </c>
    </row>
    <row r="573" spans="1:16" x14ac:dyDescent="0.3">
      <c r="A573" s="2">
        <f t="shared" si="32"/>
        <v>572</v>
      </c>
      <c r="B573" s="2" t="s">
        <v>29</v>
      </c>
      <c r="C573" s="2" t="s">
        <v>13</v>
      </c>
      <c r="D573" s="1">
        <v>0.26500000000000001</v>
      </c>
      <c r="E573" s="1" t="str" cm="1">
        <f t="array" ref="E573">_xlfn.IFS(
D573&lt;20,"Light",
D573&lt;50,"Medium",
D573&lt;100,"Heavy",
D573&gt;=100,"Very Heavy")</f>
        <v>Light</v>
      </c>
      <c r="F573" s="2">
        <v>18</v>
      </c>
      <c r="G573" s="2" t="str" cm="1">
        <f t="array" ref="G573">_xlfn.IFS(
F573&lt;50,"Small",
F573&lt;100,"Medium",
F573&lt;150,"Large",
F573&gt;=150,"Very Large"
)</f>
        <v>Small</v>
      </c>
      <c r="H573" s="2" t="s">
        <v>32</v>
      </c>
      <c r="I573" s="2">
        <v>49.056946000000003</v>
      </c>
      <c r="J573" s="2">
        <v>22.424916</v>
      </c>
      <c r="K573" s="2" t="str">
        <f t="shared" si="33"/>
        <v>Available</v>
      </c>
      <c r="L573" s="2" t="s">
        <v>10</v>
      </c>
      <c r="M573" s="3">
        <v>45390</v>
      </c>
      <c r="N573" s="3" t="str">
        <f t="shared" si="34"/>
        <v>April</v>
      </c>
      <c r="O573" s="2" t="s">
        <v>14</v>
      </c>
      <c r="P573" t="str">
        <f t="shared" si="35"/>
        <v>OK</v>
      </c>
    </row>
    <row r="574" spans="1:16" x14ac:dyDescent="0.3">
      <c r="A574" s="2">
        <f t="shared" si="32"/>
        <v>573</v>
      </c>
      <c r="B574" s="2" t="s">
        <v>29</v>
      </c>
      <c r="C574" s="2" t="s">
        <v>4</v>
      </c>
      <c r="D574" s="1">
        <v>0.29599999999999999</v>
      </c>
      <c r="E574" s="1" t="str" cm="1">
        <f t="array" ref="E574">_xlfn.IFS(
D574&lt;20,"Light",
D574&lt;50,"Medium",
D574&lt;100,"Heavy",
D574&gt;=100,"Very Heavy")</f>
        <v>Light</v>
      </c>
      <c r="F574" s="2">
        <v>22</v>
      </c>
      <c r="G574" s="2" t="str" cm="1">
        <f t="array" ref="G574">_xlfn.IFS(
F574&lt;50,"Small",
F574&lt;100,"Medium",
F574&lt;150,"Large",
F574&gt;=150,"Very Large"
)</f>
        <v>Small</v>
      </c>
      <c r="H574" s="2" t="s">
        <v>32</v>
      </c>
      <c r="I574" s="2">
        <v>50.041497</v>
      </c>
      <c r="J574" s="2">
        <v>19.950657</v>
      </c>
      <c r="K574" s="2" t="str">
        <f t="shared" si="33"/>
        <v>Available</v>
      </c>
      <c r="L574" s="2" t="s">
        <v>10</v>
      </c>
      <c r="M574" s="3">
        <v>45391</v>
      </c>
      <c r="N574" s="3" t="str">
        <f t="shared" si="34"/>
        <v>April</v>
      </c>
      <c r="O574" s="2" t="s">
        <v>6</v>
      </c>
      <c r="P574" t="str">
        <f t="shared" si="35"/>
        <v>OK</v>
      </c>
    </row>
    <row r="575" spans="1:16" x14ac:dyDescent="0.3">
      <c r="A575" s="2">
        <f t="shared" si="32"/>
        <v>574</v>
      </c>
      <c r="B575" s="2" t="s">
        <v>29</v>
      </c>
      <c r="C575" s="2" t="s">
        <v>7</v>
      </c>
      <c r="D575" s="1">
        <v>0.25700000000000001</v>
      </c>
      <c r="E575" s="1" t="str" cm="1">
        <f t="array" ref="E575">_xlfn.IFS(
D575&lt;20,"Light",
D575&lt;50,"Medium",
D575&lt;100,"Heavy",
D575&gt;=100,"Very Heavy")</f>
        <v>Light</v>
      </c>
      <c r="F575" s="2">
        <v>20</v>
      </c>
      <c r="G575" s="2" t="str" cm="1">
        <f t="array" ref="G575">_xlfn.IFS(
F575&lt;50,"Small",
F575&lt;100,"Medium",
F575&lt;150,"Large",
F575&gt;=150,"Very Large"
)</f>
        <v>Small</v>
      </c>
      <c r="H575" s="2" t="s">
        <v>33</v>
      </c>
      <c r="I575" s="2">
        <v>47.509374999999999</v>
      </c>
      <c r="J575" s="2">
        <v>18.939807999999999</v>
      </c>
      <c r="K575" s="2" t="str">
        <f t="shared" si="33"/>
        <v>Available</v>
      </c>
      <c r="L575" s="2" t="s">
        <v>10</v>
      </c>
      <c r="M575" s="3">
        <v>45391</v>
      </c>
      <c r="N575" s="3" t="str">
        <f t="shared" si="34"/>
        <v>April</v>
      </c>
      <c r="O575" s="2" t="s">
        <v>6</v>
      </c>
      <c r="P575" t="str">
        <f t="shared" si="35"/>
        <v>OK</v>
      </c>
    </row>
    <row r="576" spans="1:16" x14ac:dyDescent="0.3">
      <c r="A576" s="2">
        <f t="shared" si="32"/>
        <v>575</v>
      </c>
      <c r="B576" s="2" t="s">
        <v>29</v>
      </c>
      <c r="C576" s="2" t="s">
        <v>15</v>
      </c>
      <c r="D576" s="1">
        <v>0.313</v>
      </c>
      <c r="E576" s="1" t="str" cm="1">
        <f t="array" ref="E576">_xlfn.IFS(
D576&lt;20,"Light",
D576&lt;50,"Medium",
D576&lt;100,"Heavy",
D576&gt;=100,"Very Heavy")</f>
        <v>Light</v>
      </c>
      <c r="F576" s="2">
        <v>21</v>
      </c>
      <c r="G576" s="2" t="str" cm="1">
        <f t="array" ref="G576">_xlfn.IFS(
F576&lt;50,"Small",
F576&lt;100,"Medium",
F576&lt;150,"Large",
F576&gt;=150,"Very Large"
)</f>
        <v>Small</v>
      </c>
      <c r="H576" s="2" t="s">
        <v>32</v>
      </c>
      <c r="I576" s="2">
        <v>49.937424999999998</v>
      </c>
      <c r="J576" s="2">
        <v>14.182722999999999</v>
      </c>
      <c r="K576" s="2" t="str">
        <f t="shared" si="33"/>
        <v>Available</v>
      </c>
      <c r="L576" s="2" t="s">
        <v>10</v>
      </c>
      <c r="M576" s="3">
        <v>45391</v>
      </c>
      <c r="N576" s="3" t="str">
        <f t="shared" si="34"/>
        <v>April</v>
      </c>
      <c r="O576" s="2" t="s">
        <v>14</v>
      </c>
      <c r="P576" t="str">
        <f t="shared" si="35"/>
        <v>OK</v>
      </c>
    </row>
    <row r="577" spans="1:16" x14ac:dyDescent="0.3">
      <c r="A577" s="2">
        <f t="shared" si="32"/>
        <v>576</v>
      </c>
      <c r="B577" s="2" t="s">
        <v>29</v>
      </c>
      <c r="C577" s="2" t="s">
        <v>15</v>
      </c>
      <c r="D577" s="1">
        <v>0.28199999999999997</v>
      </c>
      <c r="E577" s="1" t="str" cm="1">
        <f t="array" ref="E577">_xlfn.IFS(
D577&lt;20,"Light",
D577&lt;50,"Medium",
D577&lt;100,"Heavy",
D577&gt;=100,"Very Heavy")</f>
        <v>Light</v>
      </c>
      <c r="F577" s="2">
        <v>19</v>
      </c>
      <c r="G577" s="2" t="str" cm="1">
        <f t="array" ref="G577">_xlfn.IFS(
F577&lt;50,"Small",
F577&lt;100,"Medium",
F577&lt;150,"Large",
F577&gt;=150,"Very Large"
)</f>
        <v>Small</v>
      </c>
      <c r="H577" s="2" t="s">
        <v>33</v>
      </c>
      <c r="I577" s="2">
        <v>49.939072000000003</v>
      </c>
      <c r="J577" s="2">
        <v>14.180063000000001</v>
      </c>
      <c r="K577" s="2" t="str">
        <f t="shared" si="33"/>
        <v>Available</v>
      </c>
      <c r="L577" s="2" t="s">
        <v>10</v>
      </c>
      <c r="M577" s="3">
        <v>45391</v>
      </c>
      <c r="N577" s="3" t="str">
        <f t="shared" si="34"/>
        <v>April</v>
      </c>
      <c r="O577" s="2" t="s">
        <v>14</v>
      </c>
      <c r="P577" t="str">
        <f t="shared" si="35"/>
        <v>OK</v>
      </c>
    </row>
    <row r="578" spans="1:16" x14ac:dyDescent="0.3">
      <c r="A578" s="2">
        <f t="shared" si="32"/>
        <v>577</v>
      </c>
      <c r="B578" s="2" t="s">
        <v>27</v>
      </c>
      <c r="C578" s="2" t="s">
        <v>4</v>
      </c>
      <c r="D578" s="1">
        <v>486</v>
      </c>
      <c r="E578" s="1" t="str" cm="1">
        <f t="array" ref="E578">_xlfn.IFS(
D578&lt;20,"Light",
D578&lt;50,"Medium",
D578&lt;100,"Heavy",
D578&gt;=100,"Very Heavy")</f>
        <v>Very Heavy</v>
      </c>
      <c r="F578" s="2">
        <v>235</v>
      </c>
      <c r="G578" s="2" t="str" cm="1">
        <f t="array" ref="G578">_xlfn.IFS(
F578&lt;50,"Small",
F578&lt;100,"Medium",
F578&lt;150,"Large",
F578&gt;=150,"Very Large"
)</f>
        <v>Very Large</v>
      </c>
      <c r="H578" s="2" t="s">
        <v>33</v>
      </c>
      <c r="I578" s="2">
        <v>52.809086000000001</v>
      </c>
      <c r="J578" s="2">
        <v>23.696425000000001</v>
      </c>
      <c r="K578" s="2" t="str">
        <f t="shared" si="33"/>
        <v>Available</v>
      </c>
      <c r="L578" s="2" t="s">
        <v>10</v>
      </c>
      <c r="M578" s="3">
        <v>45392</v>
      </c>
      <c r="N578" s="3" t="str">
        <f t="shared" si="34"/>
        <v>April</v>
      </c>
      <c r="O578" s="2" t="s">
        <v>6</v>
      </c>
      <c r="P578" t="str">
        <f t="shared" si="35"/>
        <v>OK</v>
      </c>
    </row>
    <row r="579" spans="1:16" x14ac:dyDescent="0.3">
      <c r="A579" s="2">
        <f t="shared" ref="A579:A642" si="36">ROW()-1</f>
        <v>578</v>
      </c>
      <c r="B579" s="2" t="s">
        <v>28</v>
      </c>
      <c r="C579" s="2" t="s">
        <v>4</v>
      </c>
      <c r="D579" s="1">
        <v>22</v>
      </c>
      <c r="E579" s="1" t="str" cm="1">
        <f t="array" ref="E579">_xlfn.IFS(
D579&lt;20,"Light",
D579&lt;50,"Medium",
D579&lt;100,"Heavy",
D579&gt;=100,"Very Heavy")</f>
        <v>Medium</v>
      </c>
      <c r="F579" s="2">
        <v>78</v>
      </c>
      <c r="G579" s="2" t="str" cm="1">
        <f t="array" ref="G579">_xlfn.IFS(
F579&lt;50,"Small",
F579&lt;100,"Medium",
F579&lt;150,"Large",
F579&gt;=150,"Very Large"
)</f>
        <v>Medium</v>
      </c>
      <c r="H579" s="2" t="s">
        <v>32</v>
      </c>
      <c r="I579" s="2">
        <v>52.821624999999997</v>
      </c>
      <c r="J579" s="2">
        <v>23.818062999999999</v>
      </c>
      <c r="K579" s="2" t="str">
        <f t="shared" ref="K579:K642" si="37">IF(OR(I579="",J579=""),"Missing Location","Available")</f>
        <v>Available</v>
      </c>
      <c r="L579" s="2" t="s">
        <v>10</v>
      </c>
      <c r="M579" s="3">
        <v>45392</v>
      </c>
      <c r="N579" s="3" t="str">
        <f t="shared" ref="N579:N642" si="38">TEXT(M579,"mmmm")</f>
        <v>April</v>
      </c>
      <c r="O579" s="2" t="s">
        <v>6</v>
      </c>
      <c r="P579" t="str">
        <f t="shared" ref="P579:P642" si="39">IF(OR(B579="",C579="",D579="",E579="",J579=""),"Needs Review","OK")</f>
        <v>OK</v>
      </c>
    </row>
    <row r="580" spans="1:16" x14ac:dyDescent="0.3">
      <c r="A580" s="2">
        <f t="shared" si="36"/>
        <v>579</v>
      </c>
      <c r="B580" s="2" t="s">
        <v>30</v>
      </c>
      <c r="C580" s="2" t="s">
        <v>13</v>
      </c>
      <c r="D580" s="1">
        <v>1.2</v>
      </c>
      <c r="E580" s="1" t="str" cm="1">
        <f t="array" ref="E580">_xlfn.IFS(
D580&lt;20,"Light",
D580&lt;50,"Medium",
D580&lt;100,"Heavy",
D580&gt;=100,"Very Heavy")</f>
        <v>Light</v>
      </c>
      <c r="F580" s="2">
        <v>26</v>
      </c>
      <c r="G580" s="2" t="str" cm="1">
        <f t="array" ref="G580">_xlfn.IFS(
F580&lt;50,"Small",
F580&lt;100,"Medium",
F580&lt;150,"Large",
F580&gt;=150,"Very Large"
)</f>
        <v>Small</v>
      </c>
      <c r="H580" s="2" t="s">
        <v>32</v>
      </c>
      <c r="I580" s="2">
        <v>48.409469000000001</v>
      </c>
      <c r="J580" s="2">
        <v>18.861715</v>
      </c>
      <c r="K580" s="2" t="str">
        <f t="shared" si="37"/>
        <v>Available</v>
      </c>
      <c r="L580" s="2" t="s">
        <v>10</v>
      </c>
      <c r="M580" s="3">
        <v>45392</v>
      </c>
      <c r="N580" s="3" t="str">
        <f t="shared" si="38"/>
        <v>April</v>
      </c>
      <c r="O580" s="2" t="s">
        <v>14</v>
      </c>
      <c r="P580" t="str">
        <f t="shared" si="39"/>
        <v>OK</v>
      </c>
    </row>
    <row r="581" spans="1:16" x14ac:dyDescent="0.3">
      <c r="A581" s="2">
        <f t="shared" si="36"/>
        <v>580</v>
      </c>
      <c r="B581" s="2" t="s">
        <v>29</v>
      </c>
      <c r="C581" s="2" t="s">
        <v>15</v>
      </c>
      <c r="D581" s="1">
        <v>0.25700000000000001</v>
      </c>
      <c r="E581" s="1" t="str" cm="1">
        <f t="array" ref="E581">_xlfn.IFS(
D581&lt;20,"Light",
D581&lt;50,"Medium",
D581&lt;100,"Heavy",
D581&gt;=100,"Very Heavy")</f>
        <v>Light</v>
      </c>
      <c r="F581" s="2">
        <v>21</v>
      </c>
      <c r="G581" s="2" t="str" cm="1">
        <f t="array" ref="G581">_xlfn.IFS(
F581&lt;50,"Small",
F581&lt;100,"Medium",
F581&lt;150,"Large",
F581&gt;=150,"Very Large"
)</f>
        <v>Small</v>
      </c>
      <c r="H581" s="2" t="s">
        <v>32</v>
      </c>
      <c r="I581" s="2">
        <v>50.107146999999998</v>
      </c>
      <c r="J581" s="2">
        <v>14.347009</v>
      </c>
      <c r="K581" s="2" t="str">
        <f t="shared" si="37"/>
        <v>Available</v>
      </c>
      <c r="L581" s="2" t="s">
        <v>10</v>
      </c>
      <c r="M581" s="3">
        <v>45392</v>
      </c>
      <c r="N581" s="3" t="str">
        <f t="shared" si="38"/>
        <v>April</v>
      </c>
      <c r="O581" s="2" t="s">
        <v>14</v>
      </c>
      <c r="P581" t="str">
        <f t="shared" si="39"/>
        <v>OK</v>
      </c>
    </row>
    <row r="582" spans="1:16" x14ac:dyDescent="0.3">
      <c r="A582" s="2">
        <f t="shared" si="36"/>
        <v>581</v>
      </c>
      <c r="B582" s="2" t="s">
        <v>27</v>
      </c>
      <c r="C582" s="2" t="s">
        <v>4</v>
      </c>
      <c r="D582" s="1">
        <v>610</v>
      </c>
      <c r="E582" s="1" t="str" cm="1">
        <f t="array" ref="E582">_xlfn.IFS(
D582&lt;20,"Light",
D582&lt;50,"Medium",
D582&lt;100,"Heavy",
D582&gt;=100,"Very Heavy")</f>
        <v>Very Heavy</v>
      </c>
      <c r="F582" s="2">
        <v>281</v>
      </c>
      <c r="G582" s="2" t="str" cm="1">
        <f t="array" ref="G582">_xlfn.IFS(
F582&lt;50,"Small",
F582&lt;100,"Medium",
F582&lt;150,"Large",
F582&gt;=150,"Very Large"
)</f>
        <v>Very Large</v>
      </c>
      <c r="H582" s="2" t="s">
        <v>33</v>
      </c>
      <c r="I582" s="2">
        <v>52.810988999999999</v>
      </c>
      <c r="J582" s="2">
        <v>23.689136999999999</v>
      </c>
      <c r="K582" s="2" t="str">
        <f t="shared" si="37"/>
        <v>Available</v>
      </c>
      <c r="L582" s="2" t="s">
        <v>10</v>
      </c>
      <c r="M582" s="3">
        <v>45393</v>
      </c>
      <c r="N582" s="3" t="str">
        <f t="shared" si="38"/>
        <v>April</v>
      </c>
      <c r="O582" s="2" t="s">
        <v>6</v>
      </c>
      <c r="P582" t="str">
        <f t="shared" si="39"/>
        <v>OK</v>
      </c>
    </row>
    <row r="583" spans="1:16" x14ac:dyDescent="0.3">
      <c r="A583" s="2">
        <f t="shared" si="36"/>
        <v>582</v>
      </c>
      <c r="B583" s="2" t="s">
        <v>30</v>
      </c>
      <c r="C583" s="2" t="s">
        <v>7</v>
      </c>
      <c r="D583" s="1">
        <v>0.8</v>
      </c>
      <c r="E583" s="1" t="str" cm="1">
        <f t="array" ref="E583">_xlfn.IFS(
D583&lt;20,"Light",
D583&lt;50,"Medium",
D583&lt;100,"Heavy",
D583&gt;=100,"Very Heavy")</f>
        <v>Light</v>
      </c>
      <c r="F583" s="2">
        <v>17</v>
      </c>
      <c r="G583" s="2" t="str" cm="1">
        <f t="array" ref="G583">_xlfn.IFS(
F583&lt;50,"Small",
F583&lt;100,"Medium",
F583&lt;150,"Large",
F583&gt;=150,"Very Large"
)</f>
        <v>Small</v>
      </c>
      <c r="H583" s="2" t="s">
        <v>33</v>
      </c>
      <c r="I583" s="2">
        <v>47.507080999999999</v>
      </c>
      <c r="J583" s="2">
        <v>18.939062</v>
      </c>
      <c r="K583" s="2" t="str">
        <f t="shared" si="37"/>
        <v>Available</v>
      </c>
      <c r="L583" s="2" t="s">
        <v>10</v>
      </c>
      <c r="M583" s="3">
        <v>45393</v>
      </c>
      <c r="N583" s="3" t="str">
        <f t="shared" si="38"/>
        <v>April</v>
      </c>
      <c r="O583" s="2" t="s">
        <v>6</v>
      </c>
      <c r="P583" t="str">
        <f t="shared" si="39"/>
        <v>OK</v>
      </c>
    </row>
    <row r="584" spans="1:16" x14ac:dyDescent="0.3">
      <c r="A584" s="2">
        <f t="shared" si="36"/>
        <v>583</v>
      </c>
      <c r="B584" s="2" t="s">
        <v>29</v>
      </c>
      <c r="C584" s="2" t="s">
        <v>4</v>
      </c>
      <c r="D584" s="1">
        <v>0.32500000000000001</v>
      </c>
      <c r="E584" s="1" t="str" cm="1">
        <f t="array" ref="E584">_xlfn.IFS(
D584&lt;20,"Light",
D584&lt;50,"Medium",
D584&lt;100,"Heavy",
D584&gt;=100,"Very Heavy")</f>
        <v>Light</v>
      </c>
      <c r="F584" s="2">
        <v>20</v>
      </c>
      <c r="G584" s="2" t="str" cm="1">
        <f t="array" ref="G584">_xlfn.IFS(
F584&lt;50,"Small",
F584&lt;100,"Medium",
F584&lt;150,"Large",
F584&gt;=150,"Very Large"
)</f>
        <v>Small</v>
      </c>
      <c r="H584" s="2" t="s">
        <v>33</v>
      </c>
      <c r="I584" s="2">
        <v>50.041347000000002</v>
      </c>
      <c r="J584" s="2">
        <v>19.950773000000002</v>
      </c>
      <c r="K584" s="2" t="str">
        <f t="shared" si="37"/>
        <v>Available</v>
      </c>
      <c r="L584" s="2" t="s">
        <v>10</v>
      </c>
      <c r="M584" s="3">
        <v>45393</v>
      </c>
      <c r="N584" s="3" t="str">
        <f t="shared" si="38"/>
        <v>April</v>
      </c>
      <c r="O584" s="2" t="s">
        <v>6</v>
      </c>
      <c r="P584" t="str">
        <f t="shared" si="39"/>
        <v>OK</v>
      </c>
    </row>
    <row r="585" spans="1:16" x14ac:dyDescent="0.3">
      <c r="A585" s="2">
        <f t="shared" si="36"/>
        <v>584</v>
      </c>
      <c r="B585" s="2" t="s">
        <v>29</v>
      </c>
      <c r="C585" s="2" t="s">
        <v>7</v>
      </c>
      <c r="D585" s="1">
        <v>0.27500000000000002</v>
      </c>
      <c r="E585" s="1" t="str" cm="1">
        <f t="array" ref="E585">_xlfn.IFS(
D585&lt;20,"Light",
D585&lt;50,"Medium",
D585&lt;100,"Heavy",
D585&gt;=100,"Very Heavy")</f>
        <v>Light</v>
      </c>
      <c r="F585" s="2">
        <v>21</v>
      </c>
      <c r="G585" s="2" t="str" cm="1">
        <f t="array" ref="G585">_xlfn.IFS(
F585&lt;50,"Small",
F585&lt;100,"Medium",
F585&lt;150,"Large",
F585&gt;=150,"Very Large"
)</f>
        <v>Small</v>
      </c>
      <c r="H585" s="2" t="s">
        <v>33</v>
      </c>
      <c r="I585" s="2">
        <v>47.506070999999999</v>
      </c>
      <c r="J585" s="2">
        <v>18.949311000000002</v>
      </c>
      <c r="K585" s="2" t="str">
        <f t="shared" si="37"/>
        <v>Available</v>
      </c>
      <c r="L585" s="2" t="s">
        <v>10</v>
      </c>
      <c r="M585" s="3">
        <v>45393</v>
      </c>
      <c r="N585" s="3" t="str">
        <f t="shared" si="38"/>
        <v>April</v>
      </c>
      <c r="O585" s="2" t="s">
        <v>6</v>
      </c>
      <c r="P585" t="str">
        <f t="shared" si="39"/>
        <v>OK</v>
      </c>
    </row>
    <row r="586" spans="1:16" x14ac:dyDescent="0.3">
      <c r="A586" s="2">
        <f t="shared" si="36"/>
        <v>585</v>
      </c>
      <c r="B586" s="2" t="s">
        <v>29</v>
      </c>
      <c r="C586" s="2" t="s">
        <v>7</v>
      </c>
      <c r="D586" s="1">
        <v>0.28499999999999998</v>
      </c>
      <c r="E586" s="1" t="str" cm="1">
        <f t="array" ref="E586">_xlfn.IFS(
D586&lt;20,"Light",
D586&lt;50,"Medium",
D586&lt;100,"Heavy",
D586&gt;=100,"Very Heavy")</f>
        <v>Light</v>
      </c>
      <c r="F586" s="2">
        <v>20</v>
      </c>
      <c r="G586" s="2" t="str" cm="1">
        <f t="array" ref="G586">_xlfn.IFS(
F586&lt;50,"Small",
F586&lt;100,"Medium",
F586&lt;150,"Large",
F586&gt;=150,"Very Large"
)</f>
        <v>Small</v>
      </c>
      <c r="H586" s="2" t="s">
        <v>32</v>
      </c>
      <c r="I586" s="2">
        <v>47.509655000000002</v>
      </c>
      <c r="J586" s="2">
        <v>18.943576</v>
      </c>
      <c r="K586" s="2" t="str">
        <f t="shared" si="37"/>
        <v>Available</v>
      </c>
      <c r="L586" s="2" t="s">
        <v>10</v>
      </c>
      <c r="M586" s="3">
        <v>45393</v>
      </c>
      <c r="N586" s="3" t="str">
        <f t="shared" si="38"/>
        <v>April</v>
      </c>
      <c r="O586" s="2" t="s">
        <v>6</v>
      </c>
      <c r="P586" t="str">
        <f t="shared" si="39"/>
        <v>OK</v>
      </c>
    </row>
    <row r="587" spans="1:16" x14ac:dyDescent="0.3">
      <c r="A587" s="2">
        <f t="shared" si="36"/>
        <v>586</v>
      </c>
      <c r="B587" s="2" t="s">
        <v>29</v>
      </c>
      <c r="C587" s="2" t="s">
        <v>17</v>
      </c>
      <c r="D587" s="1">
        <v>0.31</v>
      </c>
      <c r="E587" s="1" t="str" cm="1">
        <f t="array" ref="E587">_xlfn.IFS(
D587&lt;20,"Light",
D587&lt;50,"Medium",
D587&lt;100,"Heavy",
D587&gt;=100,"Very Heavy")</f>
        <v>Light</v>
      </c>
      <c r="F587" s="2">
        <v>23</v>
      </c>
      <c r="G587" s="2" t="str" cm="1">
        <f t="array" ref="G587">_xlfn.IFS(
F587&lt;50,"Small",
F587&lt;100,"Medium",
F587&lt;150,"Large",
F587&gt;=150,"Very Large"
)</f>
        <v>Small</v>
      </c>
      <c r="H587" s="2" t="s">
        <v>32</v>
      </c>
      <c r="I587" s="2">
        <v>47.856091999999997</v>
      </c>
      <c r="J587" s="2">
        <v>15.083546999999999</v>
      </c>
      <c r="K587" s="2" t="str">
        <f t="shared" si="37"/>
        <v>Available</v>
      </c>
      <c r="L587" s="2" t="s">
        <v>10</v>
      </c>
      <c r="M587" s="3">
        <v>45393</v>
      </c>
      <c r="N587" s="3" t="str">
        <f t="shared" si="38"/>
        <v>April</v>
      </c>
      <c r="O587" s="2" t="s">
        <v>12</v>
      </c>
      <c r="P587" t="str">
        <f t="shared" si="39"/>
        <v>OK</v>
      </c>
    </row>
    <row r="588" spans="1:16" x14ac:dyDescent="0.3">
      <c r="A588" s="2">
        <f t="shared" si="36"/>
        <v>587</v>
      </c>
      <c r="B588" s="2" t="s">
        <v>29</v>
      </c>
      <c r="C588" s="2" t="s">
        <v>17</v>
      </c>
      <c r="D588" s="1">
        <v>0.25600000000000001</v>
      </c>
      <c r="E588" s="1" t="str" cm="1">
        <f t="array" ref="E588">_xlfn.IFS(
D588&lt;20,"Light",
D588&lt;50,"Medium",
D588&lt;100,"Heavy",
D588&gt;=100,"Very Heavy")</f>
        <v>Light</v>
      </c>
      <c r="F588" s="2">
        <v>19</v>
      </c>
      <c r="G588" s="2" t="str" cm="1">
        <f t="array" ref="G588">_xlfn.IFS(
F588&lt;50,"Small",
F588&lt;100,"Medium",
F588&lt;150,"Large",
F588&gt;=150,"Very Large"
)</f>
        <v>Small</v>
      </c>
      <c r="H588" s="2" t="s">
        <v>32</v>
      </c>
      <c r="I588" s="2">
        <v>47.854875999999997</v>
      </c>
      <c r="J588" s="2">
        <v>15.08295</v>
      </c>
      <c r="K588" s="2" t="str">
        <f t="shared" si="37"/>
        <v>Available</v>
      </c>
      <c r="L588" s="2" t="s">
        <v>10</v>
      </c>
      <c r="M588" s="3">
        <v>45393</v>
      </c>
      <c r="N588" s="3" t="str">
        <f t="shared" si="38"/>
        <v>April</v>
      </c>
      <c r="O588" s="2" t="s">
        <v>12</v>
      </c>
      <c r="P588" t="str">
        <f t="shared" si="39"/>
        <v>OK</v>
      </c>
    </row>
    <row r="589" spans="1:16" x14ac:dyDescent="0.3">
      <c r="A589" s="2">
        <f t="shared" si="36"/>
        <v>588</v>
      </c>
      <c r="B589" s="2" t="s">
        <v>29</v>
      </c>
      <c r="C589" s="2" t="s">
        <v>17</v>
      </c>
      <c r="D589" s="1">
        <v>0.28499999999999998</v>
      </c>
      <c r="E589" s="1" t="str" cm="1">
        <f t="array" ref="E589">_xlfn.IFS(
D589&lt;20,"Light",
D589&lt;50,"Medium",
D589&lt;100,"Heavy",
D589&gt;=100,"Very Heavy")</f>
        <v>Light</v>
      </c>
      <c r="F589" s="2">
        <v>23</v>
      </c>
      <c r="G589" s="2" t="str" cm="1">
        <f t="array" ref="G589">_xlfn.IFS(
F589&lt;50,"Small",
F589&lt;100,"Medium",
F589&lt;150,"Large",
F589&gt;=150,"Very Large"
)</f>
        <v>Small</v>
      </c>
      <c r="H589" s="2" t="s">
        <v>32</v>
      </c>
      <c r="I589" s="2">
        <v>47.857534999999999</v>
      </c>
      <c r="J589" s="2">
        <v>15.078082999999999</v>
      </c>
      <c r="K589" s="2" t="str">
        <f t="shared" si="37"/>
        <v>Available</v>
      </c>
      <c r="L589" s="2" t="s">
        <v>10</v>
      </c>
      <c r="M589" s="3">
        <v>45393</v>
      </c>
      <c r="N589" s="3" t="str">
        <f t="shared" si="38"/>
        <v>April</v>
      </c>
      <c r="O589" s="2" t="s">
        <v>12</v>
      </c>
      <c r="P589" t="str">
        <f t="shared" si="39"/>
        <v>OK</v>
      </c>
    </row>
    <row r="590" spans="1:16" x14ac:dyDescent="0.3">
      <c r="A590" s="2">
        <f t="shared" si="36"/>
        <v>589</v>
      </c>
      <c r="B590" s="2" t="s">
        <v>29</v>
      </c>
      <c r="C590" s="2" t="s">
        <v>11</v>
      </c>
      <c r="D590" s="1">
        <v>0.30299999999999999</v>
      </c>
      <c r="E590" s="1" t="str" cm="1">
        <f t="array" ref="E590">_xlfn.IFS(
D590&lt;20,"Light",
D590&lt;50,"Medium",
D590&lt;100,"Heavy",
D590&gt;=100,"Very Heavy")</f>
        <v>Light</v>
      </c>
      <c r="F590" s="2">
        <v>19</v>
      </c>
      <c r="G590" s="2" t="str" cm="1">
        <f t="array" ref="G590">_xlfn.IFS(
F590&lt;50,"Small",
F590&lt;100,"Medium",
F590&lt;150,"Large",
F590&gt;=150,"Very Large"
)</f>
        <v>Small</v>
      </c>
      <c r="H590" s="2" t="s">
        <v>33</v>
      </c>
      <c r="I590" s="2">
        <v>48.162436999999997</v>
      </c>
      <c r="J590" s="2">
        <v>11.494298000000001</v>
      </c>
      <c r="K590" s="2" t="str">
        <f t="shared" si="37"/>
        <v>Available</v>
      </c>
      <c r="L590" s="2" t="s">
        <v>10</v>
      </c>
      <c r="M590" s="3">
        <v>45393</v>
      </c>
      <c r="N590" s="3" t="str">
        <f t="shared" si="38"/>
        <v>April</v>
      </c>
      <c r="O590" s="2" t="s">
        <v>12</v>
      </c>
      <c r="P590" t="str">
        <f t="shared" si="39"/>
        <v>OK</v>
      </c>
    </row>
    <row r="591" spans="1:16" x14ac:dyDescent="0.3">
      <c r="A591" s="2">
        <f t="shared" si="36"/>
        <v>590</v>
      </c>
      <c r="B591" s="2" t="s">
        <v>29</v>
      </c>
      <c r="C591" s="2" t="s">
        <v>11</v>
      </c>
      <c r="D591" s="1">
        <v>0.27300000000000002</v>
      </c>
      <c r="E591" s="1" t="str" cm="1">
        <f t="array" ref="E591">_xlfn.IFS(
D591&lt;20,"Light",
D591&lt;50,"Medium",
D591&lt;100,"Heavy",
D591&gt;=100,"Very Heavy")</f>
        <v>Light</v>
      </c>
      <c r="F591" s="2">
        <v>19</v>
      </c>
      <c r="G591" s="2" t="str" cm="1">
        <f t="array" ref="G591">_xlfn.IFS(
F591&lt;50,"Small",
F591&lt;100,"Medium",
F591&lt;150,"Large",
F591&gt;=150,"Very Large"
)</f>
        <v>Small</v>
      </c>
      <c r="H591" s="2" t="s">
        <v>32</v>
      </c>
      <c r="I591" s="2">
        <v>48.161105999999997</v>
      </c>
      <c r="J591" s="2">
        <v>11.48991</v>
      </c>
      <c r="K591" s="2" t="str">
        <f t="shared" si="37"/>
        <v>Available</v>
      </c>
      <c r="L591" s="2" t="s">
        <v>10</v>
      </c>
      <c r="M591" s="3">
        <v>45393</v>
      </c>
      <c r="N591" s="3" t="str">
        <f t="shared" si="38"/>
        <v>April</v>
      </c>
      <c r="O591" s="2" t="s">
        <v>12</v>
      </c>
      <c r="P591" t="str">
        <f t="shared" si="39"/>
        <v>OK</v>
      </c>
    </row>
    <row r="592" spans="1:16" x14ac:dyDescent="0.3">
      <c r="A592" s="2">
        <f t="shared" si="36"/>
        <v>591</v>
      </c>
      <c r="B592" s="2" t="s">
        <v>29</v>
      </c>
      <c r="C592" s="2" t="s">
        <v>11</v>
      </c>
      <c r="D592" s="1">
        <v>0.26700000000000002</v>
      </c>
      <c r="E592" s="1" t="str" cm="1">
        <f t="array" ref="E592">_xlfn.IFS(
D592&lt;20,"Light",
D592&lt;50,"Medium",
D592&lt;100,"Heavy",
D592&gt;=100,"Very Heavy")</f>
        <v>Light</v>
      </c>
      <c r="F592" s="2">
        <v>22</v>
      </c>
      <c r="G592" s="2" t="str" cm="1">
        <f t="array" ref="G592">_xlfn.IFS(
F592&lt;50,"Small",
F592&lt;100,"Medium",
F592&lt;150,"Large",
F592&gt;=150,"Very Large"
)</f>
        <v>Small</v>
      </c>
      <c r="H592" s="2" t="s">
        <v>33</v>
      </c>
      <c r="I592" s="2">
        <v>48.161385000000003</v>
      </c>
      <c r="J592" s="2">
        <v>11.492571</v>
      </c>
      <c r="K592" s="2" t="str">
        <f t="shared" si="37"/>
        <v>Available</v>
      </c>
      <c r="L592" s="2" t="s">
        <v>10</v>
      </c>
      <c r="M592" s="3">
        <v>45393</v>
      </c>
      <c r="N592" s="3" t="str">
        <f t="shared" si="38"/>
        <v>April</v>
      </c>
      <c r="O592" s="2" t="s">
        <v>12</v>
      </c>
      <c r="P592" t="str">
        <f t="shared" si="39"/>
        <v>OK</v>
      </c>
    </row>
    <row r="593" spans="1:16" x14ac:dyDescent="0.3">
      <c r="A593" s="2">
        <f t="shared" si="36"/>
        <v>592</v>
      </c>
      <c r="B593" s="2" t="s">
        <v>29</v>
      </c>
      <c r="C593" s="2" t="s">
        <v>11</v>
      </c>
      <c r="D593" s="1">
        <v>0.25800000000000001</v>
      </c>
      <c r="E593" s="1" t="str" cm="1">
        <f t="array" ref="E593">_xlfn.IFS(
D593&lt;20,"Light",
D593&lt;50,"Medium",
D593&lt;100,"Heavy",
D593&gt;=100,"Very Heavy")</f>
        <v>Light</v>
      </c>
      <c r="F593" s="2">
        <v>20</v>
      </c>
      <c r="G593" s="2" t="str" cm="1">
        <f t="array" ref="G593">_xlfn.IFS(
F593&lt;50,"Small",
F593&lt;100,"Medium",
F593&lt;150,"Large",
F593&gt;=150,"Very Large"
)</f>
        <v>Small</v>
      </c>
      <c r="H593" s="2" t="s">
        <v>33</v>
      </c>
      <c r="I593" s="2">
        <v>48.162137000000001</v>
      </c>
      <c r="J593" s="2">
        <v>11.494415</v>
      </c>
      <c r="K593" s="2" t="str">
        <f t="shared" si="37"/>
        <v>Available</v>
      </c>
      <c r="L593" s="2" t="s">
        <v>10</v>
      </c>
      <c r="M593" s="3">
        <v>45393</v>
      </c>
      <c r="N593" s="3" t="str">
        <f t="shared" si="38"/>
        <v>April</v>
      </c>
      <c r="O593" s="2" t="s">
        <v>12</v>
      </c>
      <c r="P593" t="str">
        <f t="shared" si="39"/>
        <v>OK</v>
      </c>
    </row>
    <row r="594" spans="1:16" x14ac:dyDescent="0.3">
      <c r="A594" s="2">
        <f t="shared" si="36"/>
        <v>593</v>
      </c>
      <c r="B594" s="2" t="s">
        <v>29</v>
      </c>
      <c r="C594" s="2" t="s">
        <v>11</v>
      </c>
      <c r="D594" s="1">
        <v>0.29599999999999999</v>
      </c>
      <c r="E594" s="1" t="str" cm="1">
        <f t="array" ref="E594">_xlfn.IFS(
D594&lt;20,"Light",
D594&lt;50,"Medium",
D594&lt;100,"Heavy",
D594&gt;=100,"Very Heavy")</f>
        <v>Light</v>
      </c>
      <c r="F594" s="2">
        <v>18</v>
      </c>
      <c r="G594" s="2" t="str" cm="1">
        <f t="array" ref="G594">_xlfn.IFS(
F594&lt;50,"Small",
F594&lt;100,"Medium",
F594&lt;150,"Large",
F594&gt;=150,"Very Large"
)</f>
        <v>Small</v>
      </c>
      <c r="H594" s="2" t="s">
        <v>32</v>
      </c>
      <c r="I594" s="2">
        <v>48.162162000000002</v>
      </c>
      <c r="J594" s="2">
        <v>11.493917</v>
      </c>
      <c r="K594" s="2" t="str">
        <f t="shared" si="37"/>
        <v>Available</v>
      </c>
      <c r="L594" s="2" t="s">
        <v>10</v>
      </c>
      <c r="M594" s="3">
        <v>45393</v>
      </c>
      <c r="N594" s="3" t="str">
        <f t="shared" si="38"/>
        <v>April</v>
      </c>
      <c r="O594" s="2" t="s">
        <v>12</v>
      </c>
      <c r="P594" t="str">
        <f t="shared" si="39"/>
        <v>OK</v>
      </c>
    </row>
    <row r="595" spans="1:16" x14ac:dyDescent="0.3">
      <c r="A595" s="2">
        <f t="shared" si="36"/>
        <v>594</v>
      </c>
      <c r="B595" s="2" t="s">
        <v>28</v>
      </c>
      <c r="C595" s="2" t="s">
        <v>13</v>
      </c>
      <c r="D595" s="1">
        <v>22</v>
      </c>
      <c r="E595" s="1" t="str" cm="1">
        <f t="array" ref="E595">_xlfn.IFS(
D595&lt;20,"Light",
D595&lt;50,"Medium",
D595&lt;100,"Heavy",
D595&gt;=100,"Very Heavy")</f>
        <v>Medium</v>
      </c>
      <c r="F595" s="2">
        <v>88</v>
      </c>
      <c r="G595" s="2" t="str" cm="1">
        <f t="array" ref="G595">_xlfn.IFS(
F595&lt;50,"Small",
F595&lt;100,"Medium",
F595&lt;150,"Large",
F595&gt;=150,"Very Large"
)</f>
        <v>Medium</v>
      </c>
      <c r="H595" s="2" t="s">
        <v>32</v>
      </c>
      <c r="I595" s="2">
        <v>48.408549999999998</v>
      </c>
      <c r="J595" s="2">
        <v>18.864934999999999</v>
      </c>
      <c r="K595" s="2" t="str">
        <f t="shared" si="37"/>
        <v>Available</v>
      </c>
      <c r="L595" s="2" t="s">
        <v>10</v>
      </c>
      <c r="M595" s="3">
        <v>45393</v>
      </c>
      <c r="N595" s="3" t="str">
        <f t="shared" si="38"/>
        <v>April</v>
      </c>
      <c r="O595" s="2" t="s">
        <v>14</v>
      </c>
      <c r="P595" t="str">
        <f t="shared" si="39"/>
        <v>OK</v>
      </c>
    </row>
    <row r="596" spans="1:16" x14ac:dyDescent="0.3">
      <c r="A596" s="2">
        <f t="shared" si="36"/>
        <v>595</v>
      </c>
      <c r="B596" s="2" t="s">
        <v>29</v>
      </c>
      <c r="C596" s="2" t="s">
        <v>15</v>
      </c>
      <c r="D596" s="1">
        <v>0.308</v>
      </c>
      <c r="E596" s="1" t="str" cm="1">
        <f t="array" ref="E596">_xlfn.IFS(
D596&lt;20,"Light",
D596&lt;50,"Medium",
D596&lt;100,"Heavy",
D596&gt;=100,"Very Heavy")</f>
        <v>Light</v>
      </c>
      <c r="F596" s="2">
        <v>22</v>
      </c>
      <c r="G596" s="2" t="str" cm="1">
        <f t="array" ref="G596">_xlfn.IFS(
F596&lt;50,"Small",
F596&lt;100,"Medium",
F596&lt;150,"Large",
F596&gt;=150,"Very Large"
)</f>
        <v>Small</v>
      </c>
      <c r="H596" s="2" t="s">
        <v>33</v>
      </c>
      <c r="I596" s="2">
        <v>50.106721</v>
      </c>
      <c r="J596" s="2">
        <v>14.346231</v>
      </c>
      <c r="K596" s="2" t="str">
        <f t="shared" si="37"/>
        <v>Available</v>
      </c>
      <c r="L596" s="2" t="s">
        <v>10</v>
      </c>
      <c r="M596" s="3">
        <v>45393</v>
      </c>
      <c r="N596" s="3" t="str">
        <f t="shared" si="38"/>
        <v>April</v>
      </c>
      <c r="O596" s="2" t="s">
        <v>14</v>
      </c>
      <c r="P596" t="str">
        <f t="shared" si="39"/>
        <v>OK</v>
      </c>
    </row>
    <row r="597" spans="1:16" x14ac:dyDescent="0.3">
      <c r="A597" s="2">
        <f t="shared" si="36"/>
        <v>596</v>
      </c>
      <c r="B597" s="2" t="s">
        <v>27</v>
      </c>
      <c r="C597" s="2" t="s">
        <v>4</v>
      </c>
      <c r="D597" s="1">
        <v>853</v>
      </c>
      <c r="E597" s="1" t="str" cm="1">
        <f t="array" ref="E597">_xlfn.IFS(
D597&lt;20,"Light",
D597&lt;50,"Medium",
D597&lt;100,"Heavy",
D597&gt;=100,"Very Heavy")</f>
        <v>Very Heavy</v>
      </c>
      <c r="F597" s="2">
        <v>287</v>
      </c>
      <c r="G597" s="2" t="str" cm="1">
        <f t="array" ref="G597">_xlfn.IFS(
F597&lt;50,"Small",
F597&lt;100,"Medium",
F597&lt;150,"Large",
F597&gt;=150,"Very Large"
)</f>
        <v>Very Large</v>
      </c>
      <c r="H597" s="2" t="s">
        <v>32</v>
      </c>
      <c r="I597" s="2">
        <v>52.803559999999997</v>
      </c>
      <c r="J597" s="2">
        <v>23.690377999999999</v>
      </c>
      <c r="K597" s="2" t="str">
        <f t="shared" si="37"/>
        <v>Available</v>
      </c>
      <c r="L597" s="2" t="s">
        <v>10</v>
      </c>
      <c r="M597" s="3">
        <v>45394</v>
      </c>
      <c r="N597" s="3" t="str">
        <f t="shared" si="38"/>
        <v>April</v>
      </c>
      <c r="O597" s="2" t="s">
        <v>6</v>
      </c>
      <c r="P597" t="str">
        <f t="shared" si="39"/>
        <v>OK</v>
      </c>
    </row>
    <row r="598" spans="1:16" x14ac:dyDescent="0.3">
      <c r="A598" s="2">
        <f t="shared" si="36"/>
        <v>597</v>
      </c>
      <c r="B598" s="2" t="s">
        <v>29</v>
      </c>
      <c r="C598" s="2" t="s">
        <v>11</v>
      </c>
      <c r="D598" s="1">
        <v>0.30199999999999999</v>
      </c>
      <c r="E598" s="1" t="str" cm="1">
        <f t="array" ref="E598">_xlfn.IFS(
D598&lt;20,"Light",
D598&lt;50,"Medium",
D598&lt;100,"Heavy",
D598&gt;=100,"Very Heavy")</f>
        <v>Light</v>
      </c>
      <c r="F598" s="2">
        <v>18</v>
      </c>
      <c r="G598" s="2" t="str" cm="1">
        <f t="array" ref="G598">_xlfn.IFS(
F598&lt;50,"Small",
F598&lt;100,"Medium",
F598&lt;150,"Large",
F598&gt;=150,"Very Large"
)</f>
        <v>Small</v>
      </c>
      <c r="H598" s="2" t="s">
        <v>33</v>
      </c>
      <c r="I598" s="2">
        <v>48.160992</v>
      </c>
      <c r="J598" s="2">
        <v>11.495374</v>
      </c>
      <c r="K598" s="2" t="str">
        <f t="shared" si="37"/>
        <v>Available</v>
      </c>
      <c r="L598" s="2" t="s">
        <v>10</v>
      </c>
      <c r="M598" s="3">
        <v>45394</v>
      </c>
      <c r="N598" s="3" t="str">
        <f t="shared" si="38"/>
        <v>April</v>
      </c>
      <c r="O598" s="2" t="s">
        <v>12</v>
      </c>
      <c r="P598" t="str">
        <f t="shared" si="39"/>
        <v>OK</v>
      </c>
    </row>
    <row r="599" spans="1:16" x14ac:dyDescent="0.3">
      <c r="A599" s="2">
        <f t="shared" si="36"/>
        <v>598</v>
      </c>
      <c r="B599" s="2" t="s">
        <v>30</v>
      </c>
      <c r="C599" s="2" t="s">
        <v>13</v>
      </c>
      <c r="D599" s="1">
        <v>1</v>
      </c>
      <c r="E599" s="1" t="str" cm="1">
        <f t="array" ref="E599">_xlfn.IFS(
D599&lt;20,"Light",
D599&lt;50,"Medium",
D599&lt;100,"Heavy",
D599&gt;=100,"Very Heavy")</f>
        <v>Light</v>
      </c>
      <c r="F599" s="2">
        <v>20</v>
      </c>
      <c r="G599" s="2" t="str" cm="1">
        <f t="array" ref="G599">_xlfn.IFS(
F599&lt;50,"Small",
F599&lt;100,"Medium",
F599&lt;150,"Large",
F599&gt;=150,"Very Large"
)</f>
        <v>Small</v>
      </c>
      <c r="H599" s="2" t="s">
        <v>33</v>
      </c>
      <c r="I599" s="2">
        <v>48.408712999999999</v>
      </c>
      <c r="J599" s="2">
        <v>18.863828999999999</v>
      </c>
      <c r="K599" s="2" t="str">
        <f t="shared" si="37"/>
        <v>Available</v>
      </c>
      <c r="L599" s="2" t="s">
        <v>10</v>
      </c>
      <c r="M599" s="3">
        <v>45394</v>
      </c>
      <c r="N599" s="3" t="str">
        <f t="shared" si="38"/>
        <v>April</v>
      </c>
      <c r="O599" s="2" t="s">
        <v>14</v>
      </c>
      <c r="P599" t="str">
        <f t="shared" si="39"/>
        <v>OK</v>
      </c>
    </row>
    <row r="600" spans="1:16" x14ac:dyDescent="0.3">
      <c r="A600" s="2">
        <f t="shared" si="36"/>
        <v>599</v>
      </c>
      <c r="B600" s="2" t="s">
        <v>29</v>
      </c>
      <c r="C600" s="2" t="s">
        <v>15</v>
      </c>
      <c r="D600" s="1">
        <v>0.32500000000000001</v>
      </c>
      <c r="E600" s="1" t="str" cm="1">
        <f t="array" ref="E600">_xlfn.IFS(
D600&lt;20,"Light",
D600&lt;50,"Medium",
D600&lt;100,"Heavy",
D600&gt;=100,"Very Heavy")</f>
        <v>Light</v>
      </c>
      <c r="F600" s="2">
        <v>21</v>
      </c>
      <c r="G600" s="2" t="str" cm="1">
        <f t="array" ref="G600">_xlfn.IFS(
F600&lt;50,"Small",
F600&lt;100,"Medium",
F600&lt;150,"Large",
F600&gt;=150,"Very Large"
)</f>
        <v>Small</v>
      </c>
      <c r="H600" s="2" t="s">
        <v>33</v>
      </c>
      <c r="I600" s="2">
        <v>50.106482999999997</v>
      </c>
      <c r="J600" s="2">
        <v>14.348191999999999</v>
      </c>
      <c r="K600" s="2" t="str">
        <f t="shared" si="37"/>
        <v>Available</v>
      </c>
      <c r="L600" s="2" t="s">
        <v>10</v>
      </c>
      <c r="M600" s="3">
        <v>45394</v>
      </c>
      <c r="N600" s="3" t="str">
        <f t="shared" si="38"/>
        <v>April</v>
      </c>
      <c r="O600" s="2" t="s">
        <v>14</v>
      </c>
      <c r="P600" t="str">
        <f t="shared" si="39"/>
        <v>OK</v>
      </c>
    </row>
    <row r="601" spans="1:16" x14ac:dyDescent="0.3">
      <c r="A601" s="2">
        <f t="shared" si="36"/>
        <v>600</v>
      </c>
      <c r="B601" s="2" t="s">
        <v>30</v>
      </c>
      <c r="C601" s="2" t="s">
        <v>7</v>
      </c>
      <c r="D601" s="1">
        <v>1.2</v>
      </c>
      <c r="E601" s="1" t="str" cm="1">
        <f t="array" ref="E601">_xlfn.IFS(
D601&lt;20,"Light",
D601&lt;50,"Medium",
D601&lt;100,"Heavy",
D601&gt;=100,"Very Heavy")</f>
        <v>Light</v>
      </c>
      <c r="F601" s="2">
        <v>23</v>
      </c>
      <c r="G601" s="2" t="str" cm="1">
        <f t="array" ref="G601">_xlfn.IFS(
F601&lt;50,"Small",
F601&lt;100,"Medium",
F601&lt;150,"Large",
F601&gt;=150,"Very Large"
)</f>
        <v>Small</v>
      </c>
      <c r="H601" s="2" t="s">
        <v>32</v>
      </c>
      <c r="I601" s="2">
        <v>47.511266999999997</v>
      </c>
      <c r="J601" s="2">
        <v>18.940190999999999</v>
      </c>
      <c r="K601" s="2" t="str">
        <f t="shared" si="37"/>
        <v>Available</v>
      </c>
      <c r="L601" s="2" t="s">
        <v>10</v>
      </c>
      <c r="M601" s="3">
        <v>45395</v>
      </c>
      <c r="N601" s="3" t="str">
        <f t="shared" si="38"/>
        <v>April</v>
      </c>
      <c r="O601" s="2" t="s">
        <v>6</v>
      </c>
      <c r="P601" t="str">
        <f t="shared" si="39"/>
        <v>OK</v>
      </c>
    </row>
    <row r="602" spans="1:16" x14ac:dyDescent="0.3">
      <c r="A602" s="2">
        <f t="shared" si="36"/>
        <v>601</v>
      </c>
      <c r="B602" s="2" t="s">
        <v>29</v>
      </c>
      <c r="C602" s="2" t="s">
        <v>4</v>
      </c>
      <c r="D602" s="1">
        <v>0.26400000000000001</v>
      </c>
      <c r="E602" s="1" t="str" cm="1">
        <f t="array" ref="E602">_xlfn.IFS(
D602&lt;20,"Light",
D602&lt;50,"Medium",
D602&lt;100,"Heavy",
D602&gt;=100,"Very Heavy")</f>
        <v>Light</v>
      </c>
      <c r="F602" s="2">
        <v>20</v>
      </c>
      <c r="G602" s="2" t="str" cm="1">
        <f t="array" ref="G602">_xlfn.IFS(
F602&lt;50,"Small",
F602&lt;100,"Medium",
F602&lt;150,"Large",
F602&gt;=150,"Very Large"
)</f>
        <v>Small</v>
      </c>
      <c r="H602" s="2" t="s">
        <v>32</v>
      </c>
      <c r="I602" s="2">
        <v>50.041365999999996</v>
      </c>
      <c r="J602" s="2">
        <v>19.949936000000001</v>
      </c>
      <c r="K602" s="2" t="str">
        <f t="shared" si="37"/>
        <v>Available</v>
      </c>
      <c r="L602" s="2" t="s">
        <v>10</v>
      </c>
      <c r="M602" s="3">
        <v>45395</v>
      </c>
      <c r="N602" s="3" t="str">
        <f t="shared" si="38"/>
        <v>April</v>
      </c>
      <c r="O602" s="2" t="s">
        <v>6</v>
      </c>
      <c r="P602" t="str">
        <f t="shared" si="39"/>
        <v>OK</v>
      </c>
    </row>
    <row r="603" spans="1:16" x14ac:dyDescent="0.3">
      <c r="A603" s="2">
        <f t="shared" si="36"/>
        <v>602</v>
      </c>
      <c r="B603" s="2" t="s">
        <v>29</v>
      </c>
      <c r="C603" s="2" t="s">
        <v>4</v>
      </c>
      <c r="D603" s="1">
        <v>0.297366504854368</v>
      </c>
      <c r="E603" s="1" t="str" cm="1">
        <f t="array" ref="E603">_xlfn.IFS(
D603&lt;20,"Light",
D603&lt;50,"Medium",
D603&lt;100,"Heavy",
D603&gt;=100,"Very Heavy")</f>
        <v>Light</v>
      </c>
      <c r="F603" s="2">
        <v>20.418848167539199</v>
      </c>
      <c r="G603" s="2" t="str" cm="1">
        <f t="array" ref="G603">_xlfn.IFS(
F603&lt;50,"Small",
F603&lt;100,"Medium",
F603&lt;150,"Large",
F603&gt;=150,"Very Large"
)</f>
        <v>Small</v>
      </c>
      <c r="H603" s="2" t="s">
        <v>32</v>
      </c>
      <c r="I603" s="2">
        <v>50.041573</v>
      </c>
      <c r="J603" s="2">
        <v>19.949850000000001</v>
      </c>
      <c r="K603" s="2" t="str">
        <f t="shared" si="37"/>
        <v>Available</v>
      </c>
      <c r="L603" s="2" t="s">
        <v>10</v>
      </c>
      <c r="M603" s="3">
        <v>45395</v>
      </c>
      <c r="N603" s="3" t="str">
        <f t="shared" si="38"/>
        <v>April</v>
      </c>
      <c r="O603" s="2" t="s">
        <v>6</v>
      </c>
      <c r="P603" t="str">
        <f t="shared" si="39"/>
        <v>OK</v>
      </c>
    </row>
    <row r="604" spans="1:16" x14ac:dyDescent="0.3">
      <c r="A604" s="2">
        <f t="shared" si="36"/>
        <v>603</v>
      </c>
      <c r="B604" s="2" t="s">
        <v>29</v>
      </c>
      <c r="C604" s="2" t="s">
        <v>4</v>
      </c>
      <c r="D604" s="1">
        <v>0.32</v>
      </c>
      <c r="E604" s="1" t="str" cm="1">
        <f t="array" ref="E604">_xlfn.IFS(
D604&lt;20,"Light",
D604&lt;50,"Medium",
D604&lt;100,"Heavy",
D604&gt;=100,"Very Heavy")</f>
        <v>Light</v>
      </c>
      <c r="F604" s="2">
        <v>23</v>
      </c>
      <c r="G604" s="2" t="str" cm="1">
        <f t="array" ref="G604">_xlfn.IFS(
F604&lt;50,"Small",
F604&lt;100,"Medium",
F604&lt;150,"Large",
F604&gt;=150,"Very Large"
)</f>
        <v>Small</v>
      </c>
      <c r="H604" s="2" t="s">
        <v>33</v>
      </c>
      <c r="I604" s="2">
        <v>50.041553999999998</v>
      </c>
      <c r="J604" s="2">
        <v>19.951129999999999</v>
      </c>
      <c r="K604" s="2" t="str">
        <f t="shared" si="37"/>
        <v>Available</v>
      </c>
      <c r="L604" s="2" t="s">
        <v>10</v>
      </c>
      <c r="M604" s="3">
        <v>45395</v>
      </c>
      <c r="N604" s="3" t="str">
        <f t="shared" si="38"/>
        <v>April</v>
      </c>
      <c r="O604" s="2" t="s">
        <v>6</v>
      </c>
      <c r="P604" t="str">
        <f t="shared" si="39"/>
        <v>OK</v>
      </c>
    </row>
    <row r="605" spans="1:16" x14ac:dyDescent="0.3">
      <c r="A605" s="2">
        <f t="shared" si="36"/>
        <v>604</v>
      </c>
      <c r="B605" s="2" t="s">
        <v>29</v>
      </c>
      <c r="C605" s="2" t="s">
        <v>4</v>
      </c>
      <c r="D605" s="1">
        <v>0.29799999999999999</v>
      </c>
      <c r="E605" s="1" t="str" cm="1">
        <f t="array" ref="E605">_xlfn.IFS(
D605&lt;20,"Light",
D605&lt;50,"Medium",
D605&lt;100,"Heavy",
D605&gt;=100,"Very Heavy")</f>
        <v>Light</v>
      </c>
      <c r="F605" s="2">
        <v>23</v>
      </c>
      <c r="G605" s="2" t="str" cm="1">
        <f t="array" ref="G605">_xlfn.IFS(
F605&lt;50,"Small",
F605&lt;100,"Medium",
F605&lt;150,"Large",
F605&gt;=150,"Very Large"
)</f>
        <v>Small</v>
      </c>
      <c r="H605" s="2" t="s">
        <v>32</v>
      </c>
      <c r="I605" s="2">
        <v>52.211967000000001</v>
      </c>
      <c r="J605" s="2">
        <v>21.032924000000001</v>
      </c>
      <c r="K605" s="2" t="str">
        <f t="shared" si="37"/>
        <v>Available</v>
      </c>
      <c r="L605" s="2" t="s">
        <v>10</v>
      </c>
      <c r="M605" s="3">
        <v>45395</v>
      </c>
      <c r="N605" s="3" t="str">
        <f t="shared" si="38"/>
        <v>April</v>
      </c>
      <c r="O605" s="2" t="s">
        <v>6</v>
      </c>
      <c r="P605" t="str">
        <f t="shared" si="39"/>
        <v>OK</v>
      </c>
    </row>
    <row r="606" spans="1:16" x14ac:dyDescent="0.3">
      <c r="A606" s="2">
        <f t="shared" si="36"/>
        <v>605</v>
      </c>
      <c r="B606" s="2" t="s">
        <v>30</v>
      </c>
      <c r="C606" s="2" t="s">
        <v>13</v>
      </c>
      <c r="D606" s="1">
        <v>0.8</v>
      </c>
      <c r="E606" s="1" t="str" cm="1">
        <f t="array" ref="E606">_xlfn.IFS(
D606&lt;20,"Light",
D606&lt;50,"Medium",
D606&lt;100,"Heavy",
D606&gt;=100,"Very Heavy")</f>
        <v>Light</v>
      </c>
      <c r="F606" s="2">
        <v>23</v>
      </c>
      <c r="G606" s="2" t="str" cm="1">
        <f t="array" ref="G606">_xlfn.IFS(
F606&lt;50,"Small",
F606&lt;100,"Medium",
F606&lt;150,"Large",
F606&gt;=150,"Very Large"
)</f>
        <v>Small</v>
      </c>
      <c r="H606" s="2" t="s">
        <v>32</v>
      </c>
      <c r="I606" s="2">
        <v>48.412843000000002</v>
      </c>
      <c r="J606" s="2">
        <v>18.872613999999999</v>
      </c>
      <c r="K606" s="2" t="str">
        <f t="shared" si="37"/>
        <v>Available</v>
      </c>
      <c r="L606" s="2" t="s">
        <v>10</v>
      </c>
      <c r="M606" s="3">
        <v>45395</v>
      </c>
      <c r="N606" s="3" t="str">
        <f t="shared" si="38"/>
        <v>April</v>
      </c>
      <c r="O606" s="2" t="s">
        <v>14</v>
      </c>
      <c r="P606" t="str">
        <f t="shared" si="39"/>
        <v>OK</v>
      </c>
    </row>
    <row r="607" spans="1:16" x14ac:dyDescent="0.3">
      <c r="A607" s="2">
        <f t="shared" si="36"/>
        <v>606</v>
      </c>
      <c r="B607" s="2" t="s">
        <v>30</v>
      </c>
      <c r="C607" s="2" t="s">
        <v>13</v>
      </c>
      <c r="D607" s="1">
        <v>0.8</v>
      </c>
      <c r="E607" s="1" t="str" cm="1">
        <f t="array" ref="E607">_xlfn.IFS(
D607&lt;20,"Light",
D607&lt;50,"Medium",
D607&lt;100,"Heavy",
D607&gt;=100,"Very Heavy")</f>
        <v>Light</v>
      </c>
      <c r="F607" s="2">
        <v>16</v>
      </c>
      <c r="G607" s="2" t="str" cm="1">
        <f t="array" ref="G607">_xlfn.IFS(
F607&lt;50,"Small",
F607&lt;100,"Medium",
F607&lt;150,"Large",
F607&gt;=150,"Very Large"
)</f>
        <v>Small</v>
      </c>
      <c r="H607" s="2" t="s">
        <v>32</v>
      </c>
      <c r="I607" s="2">
        <v>48.407138000000003</v>
      </c>
      <c r="J607" s="2">
        <v>18.867246999999999</v>
      </c>
      <c r="K607" s="2" t="str">
        <f t="shared" si="37"/>
        <v>Available</v>
      </c>
      <c r="L607" s="2" t="s">
        <v>10</v>
      </c>
      <c r="M607" s="3">
        <v>45395</v>
      </c>
      <c r="N607" s="3" t="str">
        <f t="shared" si="38"/>
        <v>April</v>
      </c>
      <c r="O607" s="2" t="s">
        <v>14</v>
      </c>
      <c r="P607" t="str">
        <f t="shared" si="39"/>
        <v>OK</v>
      </c>
    </row>
    <row r="608" spans="1:16" x14ac:dyDescent="0.3">
      <c r="A608" s="2">
        <f t="shared" si="36"/>
        <v>607</v>
      </c>
      <c r="B608" s="2" t="s">
        <v>30</v>
      </c>
      <c r="C608" s="2" t="s">
        <v>7</v>
      </c>
      <c r="D608" s="1">
        <v>0.4</v>
      </c>
      <c r="E608" s="1" t="str" cm="1">
        <f t="array" ref="E608">_xlfn.IFS(
D608&lt;20,"Light",
D608&lt;50,"Medium",
D608&lt;100,"Heavy",
D608&gt;=100,"Very Heavy")</f>
        <v>Light</v>
      </c>
      <c r="F608" s="2">
        <v>17</v>
      </c>
      <c r="G608" s="2" t="str" cm="1">
        <f t="array" ref="G608">_xlfn.IFS(
F608&lt;50,"Small",
F608&lt;100,"Medium",
F608&lt;150,"Large",
F608&gt;=150,"Very Large"
)</f>
        <v>Small</v>
      </c>
      <c r="H608" s="2" t="s">
        <v>33</v>
      </c>
      <c r="I608" s="2">
        <v>47.509261000000002</v>
      </c>
      <c r="J608" s="2">
        <v>18.949967000000001</v>
      </c>
      <c r="K608" s="2" t="str">
        <f t="shared" si="37"/>
        <v>Available</v>
      </c>
      <c r="L608" s="2" t="s">
        <v>10</v>
      </c>
      <c r="M608" s="3">
        <v>45396</v>
      </c>
      <c r="N608" s="3" t="str">
        <f t="shared" si="38"/>
        <v>April</v>
      </c>
      <c r="O608" s="2" t="s">
        <v>6</v>
      </c>
      <c r="P608" t="str">
        <f t="shared" si="39"/>
        <v>OK</v>
      </c>
    </row>
    <row r="609" spans="1:16" x14ac:dyDescent="0.3">
      <c r="A609" s="2">
        <f t="shared" si="36"/>
        <v>608</v>
      </c>
      <c r="B609" s="2" t="s">
        <v>28</v>
      </c>
      <c r="C609" s="2" t="s">
        <v>4</v>
      </c>
      <c r="D609" s="1">
        <v>20</v>
      </c>
      <c r="E609" s="1" t="str" cm="1">
        <f t="array" ref="E609">_xlfn.IFS(
D609&lt;20,"Light",
D609&lt;50,"Medium",
D609&lt;100,"Heavy",
D609&gt;=100,"Very Heavy")</f>
        <v>Medium</v>
      </c>
      <c r="F609" s="2">
        <v>90</v>
      </c>
      <c r="G609" s="2" t="str" cm="1">
        <f t="array" ref="G609">_xlfn.IFS(
F609&lt;50,"Small",
F609&lt;100,"Medium",
F609&lt;150,"Large",
F609&gt;=150,"Very Large"
)</f>
        <v>Medium</v>
      </c>
      <c r="H609" s="2" t="s">
        <v>33</v>
      </c>
      <c r="I609" s="2">
        <v>52.824607999999998</v>
      </c>
      <c r="J609" s="2">
        <v>23.817395999999999</v>
      </c>
      <c r="K609" s="2" t="str">
        <f t="shared" si="37"/>
        <v>Available</v>
      </c>
      <c r="L609" s="2" t="s">
        <v>10</v>
      </c>
      <c r="M609" s="3">
        <v>45396</v>
      </c>
      <c r="N609" s="3" t="str">
        <f t="shared" si="38"/>
        <v>April</v>
      </c>
      <c r="O609" s="2" t="s">
        <v>6</v>
      </c>
      <c r="P609" t="str">
        <f t="shared" si="39"/>
        <v>OK</v>
      </c>
    </row>
    <row r="610" spans="1:16" x14ac:dyDescent="0.3">
      <c r="A610" s="2">
        <f t="shared" si="36"/>
        <v>609</v>
      </c>
      <c r="B610" s="2" t="s">
        <v>29</v>
      </c>
      <c r="C610" s="2" t="s">
        <v>7</v>
      </c>
      <c r="D610" s="1">
        <v>0.29699999999999999</v>
      </c>
      <c r="E610" s="1" t="str" cm="1">
        <f t="array" ref="E610">_xlfn.IFS(
D610&lt;20,"Light",
D610&lt;50,"Medium",
D610&lt;100,"Heavy",
D610&gt;=100,"Very Heavy")</f>
        <v>Light</v>
      </c>
      <c r="F610" s="2">
        <v>18</v>
      </c>
      <c r="G610" s="2" t="str" cm="1">
        <f t="array" ref="G610">_xlfn.IFS(
F610&lt;50,"Small",
F610&lt;100,"Medium",
F610&lt;150,"Large",
F610&gt;=150,"Very Large"
)</f>
        <v>Small</v>
      </c>
      <c r="H610" s="2" t="s">
        <v>32</v>
      </c>
      <c r="I610" s="2">
        <v>47.506306000000002</v>
      </c>
      <c r="J610" s="2">
        <v>18.946099</v>
      </c>
      <c r="K610" s="2" t="str">
        <f t="shared" si="37"/>
        <v>Available</v>
      </c>
      <c r="L610" s="2" t="s">
        <v>10</v>
      </c>
      <c r="M610" s="3">
        <v>45396</v>
      </c>
      <c r="N610" s="3" t="str">
        <f t="shared" si="38"/>
        <v>April</v>
      </c>
      <c r="O610" s="2" t="s">
        <v>6</v>
      </c>
      <c r="P610" t="str">
        <f t="shared" si="39"/>
        <v>OK</v>
      </c>
    </row>
    <row r="611" spans="1:16" x14ac:dyDescent="0.3">
      <c r="A611" s="2">
        <f t="shared" si="36"/>
        <v>610</v>
      </c>
      <c r="B611" s="2" t="s">
        <v>29</v>
      </c>
      <c r="C611" s="2" t="s">
        <v>7</v>
      </c>
      <c r="D611" s="1">
        <v>0.308</v>
      </c>
      <c r="E611" s="1" t="str" cm="1">
        <f t="array" ref="E611">_xlfn.IFS(
D611&lt;20,"Light",
D611&lt;50,"Medium",
D611&lt;100,"Heavy",
D611&gt;=100,"Very Heavy")</f>
        <v>Light</v>
      </c>
      <c r="F611" s="2">
        <v>20</v>
      </c>
      <c r="G611" s="2" t="str" cm="1">
        <f t="array" ref="G611">_xlfn.IFS(
F611&lt;50,"Small",
F611&lt;100,"Medium",
F611&lt;150,"Large",
F611&gt;=150,"Very Large"
)</f>
        <v>Small</v>
      </c>
      <c r="H611" s="2" t="s">
        <v>33</v>
      </c>
      <c r="I611" s="2">
        <v>47.510067999999997</v>
      </c>
      <c r="J611" s="2">
        <v>18.947175999999999</v>
      </c>
      <c r="K611" s="2" t="str">
        <f t="shared" si="37"/>
        <v>Available</v>
      </c>
      <c r="L611" s="2" t="s">
        <v>10</v>
      </c>
      <c r="M611" s="3">
        <v>45396</v>
      </c>
      <c r="N611" s="3" t="str">
        <f t="shared" si="38"/>
        <v>April</v>
      </c>
      <c r="O611" s="2" t="s">
        <v>6</v>
      </c>
      <c r="P611" t="str">
        <f t="shared" si="39"/>
        <v>OK</v>
      </c>
    </row>
    <row r="612" spans="1:16" x14ac:dyDescent="0.3">
      <c r="A612" s="2">
        <f t="shared" si="36"/>
        <v>611</v>
      </c>
      <c r="B612" s="2" t="s">
        <v>29</v>
      </c>
      <c r="C612" s="2" t="s">
        <v>7</v>
      </c>
      <c r="D612" s="1">
        <v>0.26800000000000002</v>
      </c>
      <c r="E612" s="1" t="str" cm="1">
        <f t="array" ref="E612">_xlfn.IFS(
D612&lt;20,"Light",
D612&lt;50,"Medium",
D612&lt;100,"Heavy",
D612&gt;=100,"Very Heavy")</f>
        <v>Light</v>
      </c>
      <c r="F612" s="2">
        <v>19</v>
      </c>
      <c r="G612" s="2" t="str" cm="1">
        <f t="array" ref="G612">_xlfn.IFS(
F612&lt;50,"Small",
F612&lt;100,"Medium",
F612&lt;150,"Large",
F612&gt;=150,"Very Large"
)</f>
        <v>Small</v>
      </c>
      <c r="H612" s="2" t="s">
        <v>32</v>
      </c>
      <c r="I612" s="2">
        <v>47.511060000000001</v>
      </c>
      <c r="J612" s="2">
        <v>18.939831999999999</v>
      </c>
      <c r="K612" s="2" t="str">
        <f t="shared" si="37"/>
        <v>Available</v>
      </c>
      <c r="L612" s="2" t="s">
        <v>10</v>
      </c>
      <c r="M612" s="3">
        <v>45396</v>
      </c>
      <c r="N612" s="3" t="str">
        <f t="shared" si="38"/>
        <v>April</v>
      </c>
      <c r="O612" s="2" t="s">
        <v>6</v>
      </c>
      <c r="P612" t="str">
        <f t="shared" si="39"/>
        <v>OK</v>
      </c>
    </row>
    <row r="613" spans="1:16" x14ac:dyDescent="0.3">
      <c r="A613" s="2">
        <f t="shared" si="36"/>
        <v>612</v>
      </c>
      <c r="B613" s="2" t="s">
        <v>29</v>
      </c>
      <c r="C613" s="2" t="s">
        <v>11</v>
      </c>
      <c r="D613" s="1">
        <v>0.25900000000000001</v>
      </c>
      <c r="E613" s="1" t="str" cm="1">
        <f t="array" ref="E613">_xlfn.IFS(
D613&lt;20,"Light",
D613&lt;50,"Medium",
D613&lt;100,"Heavy",
D613&gt;=100,"Very Heavy")</f>
        <v>Light</v>
      </c>
      <c r="F613" s="2">
        <v>22</v>
      </c>
      <c r="G613" s="2" t="str" cm="1">
        <f t="array" ref="G613">_xlfn.IFS(
F613&lt;50,"Small",
F613&lt;100,"Medium",
F613&lt;150,"Large",
F613&gt;=150,"Very Large"
)</f>
        <v>Small</v>
      </c>
      <c r="H613" s="2" t="s">
        <v>32</v>
      </c>
      <c r="I613" s="2">
        <v>48.160831000000002</v>
      </c>
      <c r="J613" s="2">
        <v>11.492402999999999</v>
      </c>
      <c r="K613" s="2" t="str">
        <f t="shared" si="37"/>
        <v>Available</v>
      </c>
      <c r="L613" s="2" t="s">
        <v>10</v>
      </c>
      <c r="M613" s="3">
        <v>45396</v>
      </c>
      <c r="N613" s="3" t="str">
        <f t="shared" si="38"/>
        <v>April</v>
      </c>
      <c r="O613" s="2" t="s">
        <v>12</v>
      </c>
      <c r="P613" t="str">
        <f t="shared" si="39"/>
        <v>OK</v>
      </c>
    </row>
    <row r="614" spans="1:16" x14ac:dyDescent="0.3">
      <c r="A614" s="2">
        <f t="shared" si="36"/>
        <v>613</v>
      </c>
      <c r="B614" s="2" t="s">
        <v>27</v>
      </c>
      <c r="C614" s="2" t="s">
        <v>4</v>
      </c>
      <c r="D614" s="1">
        <v>700</v>
      </c>
      <c r="E614" s="1" t="str" cm="1">
        <f t="array" ref="E614">_xlfn.IFS(
D614&lt;20,"Light",
D614&lt;50,"Medium",
D614&lt;100,"Heavy",
D614&gt;=100,"Very Heavy")</f>
        <v>Very Heavy</v>
      </c>
      <c r="F614" s="2">
        <v>286</v>
      </c>
      <c r="G614" s="2" t="str" cm="1">
        <f t="array" ref="G614">_xlfn.IFS(
F614&lt;50,"Small",
F614&lt;100,"Medium",
F614&lt;150,"Large",
F614&gt;=150,"Very Large"
)</f>
        <v>Very Large</v>
      </c>
      <c r="H614" s="2" t="s">
        <v>32</v>
      </c>
      <c r="I614" s="2">
        <v>52.808503000000002</v>
      </c>
      <c r="J614" s="2">
        <v>23.699369999999998</v>
      </c>
      <c r="K614" s="2" t="str">
        <f t="shared" si="37"/>
        <v>Available</v>
      </c>
      <c r="L614" s="2" t="s">
        <v>10</v>
      </c>
      <c r="M614" s="3">
        <v>45397</v>
      </c>
      <c r="N614" s="3" t="str">
        <f t="shared" si="38"/>
        <v>April</v>
      </c>
      <c r="O614" s="2" t="s">
        <v>6</v>
      </c>
      <c r="P614" t="str">
        <f t="shared" si="39"/>
        <v>OK</v>
      </c>
    </row>
    <row r="615" spans="1:16" x14ac:dyDescent="0.3">
      <c r="A615" s="2">
        <f t="shared" si="36"/>
        <v>614</v>
      </c>
      <c r="B615" s="2" t="s">
        <v>30</v>
      </c>
      <c r="C615" s="2" t="s">
        <v>7</v>
      </c>
      <c r="D615" s="1">
        <v>0.7</v>
      </c>
      <c r="E615" s="1" t="str" cm="1">
        <f t="array" ref="E615">_xlfn.IFS(
D615&lt;20,"Light",
D615&lt;50,"Medium",
D615&lt;100,"Heavy",
D615&gt;=100,"Very Heavy")</f>
        <v>Light</v>
      </c>
      <c r="F615" s="2">
        <v>15</v>
      </c>
      <c r="G615" s="2" t="str" cm="1">
        <f t="array" ref="G615">_xlfn.IFS(
F615&lt;50,"Small",
F615&lt;100,"Medium",
F615&lt;150,"Large",
F615&gt;=150,"Very Large"
)</f>
        <v>Small</v>
      </c>
      <c r="H615" s="2" t="s">
        <v>32</v>
      </c>
      <c r="I615" s="2">
        <v>47.511426999999998</v>
      </c>
      <c r="J615" s="2">
        <v>18.948713999999999</v>
      </c>
      <c r="K615" s="2" t="str">
        <f t="shared" si="37"/>
        <v>Available</v>
      </c>
      <c r="L615" s="2" t="s">
        <v>10</v>
      </c>
      <c r="M615" s="3">
        <v>45397</v>
      </c>
      <c r="N615" s="3" t="str">
        <f t="shared" si="38"/>
        <v>April</v>
      </c>
      <c r="O615" s="2" t="s">
        <v>6</v>
      </c>
      <c r="P615" t="str">
        <f t="shared" si="39"/>
        <v>OK</v>
      </c>
    </row>
    <row r="616" spans="1:16" x14ac:dyDescent="0.3">
      <c r="A616" s="2">
        <f t="shared" si="36"/>
        <v>615</v>
      </c>
      <c r="B616" s="2" t="s">
        <v>29</v>
      </c>
      <c r="C616" s="2" t="s">
        <v>4</v>
      </c>
      <c r="D616" s="1">
        <v>0.27800000000000002</v>
      </c>
      <c r="E616" s="1" t="str" cm="1">
        <f t="array" ref="E616">_xlfn.IFS(
D616&lt;20,"Light",
D616&lt;50,"Medium",
D616&lt;100,"Heavy",
D616&gt;=100,"Very Heavy")</f>
        <v>Light</v>
      </c>
      <c r="F616" s="2">
        <v>21</v>
      </c>
      <c r="G616" s="2" t="str" cm="1">
        <f t="array" ref="G616">_xlfn.IFS(
F616&lt;50,"Small",
F616&lt;100,"Medium",
F616&lt;150,"Large",
F616&gt;=150,"Very Large"
)</f>
        <v>Small</v>
      </c>
      <c r="H616" s="2" t="s">
        <v>33</v>
      </c>
      <c r="I616" s="2">
        <v>52.211888000000002</v>
      </c>
      <c r="J616" s="2">
        <v>21.032350000000001</v>
      </c>
      <c r="K616" s="2" t="str">
        <f t="shared" si="37"/>
        <v>Available</v>
      </c>
      <c r="L616" s="2" t="s">
        <v>10</v>
      </c>
      <c r="M616" s="3">
        <v>45397</v>
      </c>
      <c r="N616" s="3" t="str">
        <f t="shared" si="38"/>
        <v>April</v>
      </c>
      <c r="O616" s="2" t="s">
        <v>6</v>
      </c>
      <c r="P616" t="str">
        <f t="shared" si="39"/>
        <v>OK</v>
      </c>
    </row>
    <row r="617" spans="1:16" x14ac:dyDescent="0.3">
      <c r="A617" s="2">
        <f t="shared" si="36"/>
        <v>616</v>
      </c>
      <c r="B617" s="2" t="s">
        <v>29</v>
      </c>
      <c r="C617" s="2" t="s">
        <v>11</v>
      </c>
      <c r="D617" s="1">
        <v>0.33900000000000002</v>
      </c>
      <c r="E617" s="1" t="str" cm="1">
        <f t="array" ref="E617">_xlfn.IFS(
D617&lt;20,"Light",
D617&lt;50,"Medium",
D617&lt;100,"Heavy",
D617&gt;=100,"Very Heavy")</f>
        <v>Light</v>
      </c>
      <c r="F617" s="2">
        <v>19</v>
      </c>
      <c r="G617" s="2" t="str" cm="1">
        <f t="array" ref="G617">_xlfn.IFS(
F617&lt;50,"Small",
F617&lt;100,"Medium",
F617&lt;150,"Large",
F617&gt;=150,"Very Large"
)</f>
        <v>Small</v>
      </c>
      <c r="H617" s="2" t="s">
        <v>33</v>
      </c>
      <c r="I617" s="2">
        <v>48.161422000000002</v>
      </c>
      <c r="J617" s="2">
        <v>11.491813</v>
      </c>
      <c r="K617" s="2" t="str">
        <f t="shared" si="37"/>
        <v>Available</v>
      </c>
      <c r="L617" s="2" t="s">
        <v>10</v>
      </c>
      <c r="M617" s="3">
        <v>45397</v>
      </c>
      <c r="N617" s="3" t="str">
        <f t="shared" si="38"/>
        <v>April</v>
      </c>
      <c r="O617" s="2" t="s">
        <v>12</v>
      </c>
      <c r="P617" t="str">
        <f t="shared" si="39"/>
        <v>OK</v>
      </c>
    </row>
    <row r="618" spans="1:16" x14ac:dyDescent="0.3">
      <c r="A618" s="2">
        <f t="shared" si="36"/>
        <v>617</v>
      </c>
      <c r="B618" s="2" t="s">
        <v>29</v>
      </c>
      <c r="C618" s="2" t="s">
        <v>11</v>
      </c>
      <c r="D618" s="1">
        <v>0.307</v>
      </c>
      <c r="E618" s="1" t="str" cm="1">
        <f t="array" ref="E618">_xlfn.IFS(
D618&lt;20,"Light",
D618&lt;50,"Medium",
D618&lt;100,"Heavy",
D618&gt;=100,"Very Heavy")</f>
        <v>Light</v>
      </c>
      <c r="F618" s="2">
        <v>22</v>
      </c>
      <c r="G618" s="2" t="str" cm="1">
        <f t="array" ref="G618">_xlfn.IFS(
F618&lt;50,"Small",
F618&lt;100,"Medium",
F618&lt;150,"Large",
F618&gt;=150,"Very Large"
)</f>
        <v>Small</v>
      </c>
      <c r="H618" s="2" t="s">
        <v>32</v>
      </c>
      <c r="I618" s="2">
        <v>48.160789999999999</v>
      </c>
      <c r="J618" s="2">
        <v>11.489549</v>
      </c>
      <c r="K618" s="2" t="str">
        <f t="shared" si="37"/>
        <v>Available</v>
      </c>
      <c r="L618" s="2" t="s">
        <v>10</v>
      </c>
      <c r="M618" s="3">
        <v>45397</v>
      </c>
      <c r="N618" s="3" t="str">
        <f t="shared" si="38"/>
        <v>April</v>
      </c>
      <c r="O618" s="2" t="s">
        <v>12</v>
      </c>
      <c r="P618" t="str">
        <f t="shared" si="39"/>
        <v>OK</v>
      </c>
    </row>
    <row r="619" spans="1:16" x14ac:dyDescent="0.3">
      <c r="A619" s="2">
        <f t="shared" si="36"/>
        <v>618</v>
      </c>
      <c r="B619" s="2" t="s">
        <v>29</v>
      </c>
      <c r="C619" s="2" t="s">
        <v>11</v>
      </c>
      <c r="D619" s="1">
        <v>0.25600000000000001</v>
      </c>
      <c r="E619" s="1" t="str" cm="1">
        <f t="array" ref="E619">_xlfn.IFS(
D619&lt;20,"Light",
D619&lt;50,"Medium",
D619&lt;100,"Heavy",
D619&gt;=100,"Very Heavy")</f>
        <v>Light</v>
      </c>
      <c r="F619" s="2">
        <v>20</v>
      </c>
      <c r="G619" s="2" t="str" cm="1">
        <f t="array" ref="G619">_xlfn.IFS(
F619&lt;50,"Small",
F619&lt;100,"Medium",
F619&lt;150,"Large",
F619&gt;=150,"Very Large"
)</f>
        <v>Small</v>
      </c>
      <c r="H619" s="2" t="s">
        <v>33</v>
      </c>
      <c r="I619" s="2">
        <v>48.161009</v>
      </c>
      <c r="J619" s="2">
        <v>11.491557</v>
      </c>
      <c r="K619" s="2" t="str">
        <f t="shared" si="37"/>
        <v>Available</v>
      </c>
      <c r="L619" s="2" t="s">
        <v>10</v>
      </c>
      <c r="M619" s="3">
        <v>45397</v>
      </c>
      <c r="N619" s="3" t="str">
        <f t="shared" si="38"/>
        <v>April</v>
      </c>
      <c r="O619" s="2" t="s">
        <v>12</v>
      </c>
      <c r="P619" t="str">
        <f t="shared" si="39"/>
        <v>OK</v>
      </c>
    </row>
    <row r="620" spans="1:16" x14ac:dyDescent="0.3">
      <c r="A620" s="2">
        <f t="shared" si="36"/>
        <v>619</v>
      </c>
      <c r="B620" s="2" t="s">
        <v>29</v>
      </c>
      <c r="C620" s="2" t="s">
        <v>11</v>
      </c>
      <c r="D620" s="1">
        <v>0.28999999999999998</v>
      </c>
      <c r="E620" s="1" t="str" cm="1">
        <f t="array" ref="E620">_xlfn.IFS(
D620&lt;20,"Light",
D620&lt;50,"Medium",
D620&lt;100,"Heavy",
D620&gt;=100,"Very Heavy")</f>
        <v>Light</v>
      </c>
      <c r="F620" s="2">
        <v>20</v>
      </c>
      <c r="G620" s="2" t="str" cm="1">
        <f t="array" ref="G620">_xlfn.IFS(
F620&lt;50,"Small",
F620&lt;100,"Medium",
F620&lt;150,"Large",
F620&gt;=150,"Very Large"
)</f>
        <v>Small</v>
      </c>
      <c r="H620" s="2" t="s">
        <v>32</v>
      </c>
      <c r="I620" s="2">
        <v>48.160806999999998</v>
      </c>
      <c r="J620" s="2">
        <v>11.494218999999999</v>
      </c>
      <c r="K620" s="2" t="str">
        <f t="shared" si="37"/>
        <v>Available</v>
      </c>
      <c r="L620" s="2" t="s">
        <v>10</v>
      </c>
      <c r="M620" s="3">
        <v>45397</v>
      </c>
      <c r="N620" s="3" t="str">
        <f t="shared" si="38"/>
        <v>April</v>
      </c>
      <c r="O620" s="2" t="s">
        <v>12</v>
      </c>
      <c r="P620" t="str">
        <f t="shared" si="39"/>
        <v>OK</v>
      </c>
    </row>
    <row r="621" spans="1:16" x14ac:dyDescent="0.3">
      <c r="A621" s="2">
        <f t="shared" si="36"/>
        <v>620</v>
      </c>
      <c r="B621" s="2" t="s">
        <v>29</v>
      </c>
      <c r="C621" s="2" t="s">
        <v>11</v>
      </c>
      <c r="D621" s="1">
        <v>0.32300000000000001</v>
      </c>
      <c r="E621" s="1" t="str" cm="1">
        <f t="array" ref="E621">_xlfn.IFS(
D621&lt;20,"Light",
D621&lt;50,"Medium",
D621&lt;100,"Heavy",
D621&gt;=100,"Very Heavy")</f>
        <v>Light</v>
      </c>
      <c r="F621" s="2">
        <v>18</v>
      </c>
      <c r="G621" s="2" t="str" cm="1">
        <f t="array" ref="G621">_xlfn.IFS(
F621&lt;50,"Small",
F621&lt;100,"Medium",
F621&lt;150,"Large",
F621&gt;=150,"Very Large"
)</f>
        <v>Small</v>
      </c>
      <c r="H621" s="2" t="s">
        <v>33</v>
      </c>
      <c r="I621" s="2">
        <v>48.161794</v>
      </c>
      <c r="J621" s="2">
        <v>11.494325</v>
      </c>
      <c r="K621" s="2" t="str">
        <f t="shared" si="37"/>
        <v>Available</v>
      </c>
      <c r="L621" s="2" t="s">
        <v>10</v>
      </c>
      <c r="M621" s="3">
        <v>45397</v>
      </c>
      <c r="N621" s="3" t="str">
        <f t="shared" si="38"/>
        <v>April</v>
      </c>
      <c r="O621" s="2" t="s">
        <v>12</v>
      </c>
      <c r="P621" t="str">
        <f t="shared" si="39"/>
        <v>OK</v>
      </c>
    </row>
    <row r="622" spans="1:16" x14ac:dyDescent="0.3">
      <c r="A622" s="2">
        <f t="shared" si="36"/>
        <v>621</v>
      </c>
      <c r="B622" s="2" t="s">
        <v>29</v>
      </c>
      <c r="C622" s="2" t="s">
        <v>11</v>
      </c>
      <c r="D622" s="1">
        <v>0.29299999999999998</v>
      </c>
      <c r="E622" s="1" t="str" cm="1">
        <f t="array" ref="E622">_xlfn.IFS(
D622&lt;20,"Light",
D622&lt;50,"Medium",
D622&lt;100,"Heavy",
D622&gt;=100,"Very Heavy")</f>
        <v>Light</v>
      </c>
      <c r="F622" s="2">
        <v>21</v>
      </c>
      <c r="G622" s="2" t="str" cm="1">
        <f t="array" ref="G622">_xlfn.IFS(
F622&lt;50,"Small",
F622&lt;100,"Medium",
F622&lt;150,"Large",
F622&gt;=150,"Very Large"
)</f>
        <v>Small</v>
      </c>
      <c r="H622" s="2" t="s">
        <v>32</v>
      </c>
      <c r="I622" s="2">
        <v>48.161068999999998</v>
      </c>
      <c r="J622" s="2">
        <v>11.493029999999999</v>
      </c>
      <c r="K622" s="2" t="str">
        <f t="shared" si="37"/>
        <v>Available</v>
      </c>
      <c r="L622" s="2" t="s">
        <v>10</v>
      </c>
      <c r="M622" s="3">
        <v>45397</v>
      </c>
      <c r="N622" s="3" t="str">
        <f t="shared" si="38"/>
        <v>April</v>
      </c>
      <c r="O622" s="2" t="s">
        <v>12</v>
      </c>
      <c r="P622" t="str">
        <f t="shared" si="39"/>
        <v>OK</v>
      </c>
    </row>
    <row r="623" spans="1:16" x14ac:dyDescent="0.3">
      <c r="A623" s="2">
        <f t="shared" si="36"/>
        <v>622</v>
      </c>
      <c r="B623" s="2" t="s">
        <v>29</v>
      </c>
      <c r="C623" s="2" t="s">
        <v>11</v>
      </c>
      <c r="D623" s="1">
        <v>0.32600000000000001</v>
      </c>
      <c r="E623" s="1" t="str" cm="1">
        <f t="array" ref="E623">_xlfn.IFS(
D623&lt;20,"Light",
D623&lt;50,"Medium",
D623&lt;100,"Heavy",
D623&gt;=100,"Very Heavy")</f>
        <v>Light</v>
      </c>
      <c r="F623" s="2">
        <v>18</v>
      </c>
      <c r="G623" s="2" t="str" cm="1">
        <f t="array" ref="G623">_xlfn.IFS(
F623&lt;50,"Small",
F623&lt;100,"Medium",
F623&lt;150,"Large",
F623&gt;=150,"Very Large"
)</f>
        <v>Small</v>
      </c>
      <c r="H623" s="2" t="s">
        <v>33</v>
      </c>
      <c r="I623" s="2">
        <v>48.160870000000003</v>
      </c>
      <c r="J623" s="2">
        <v>11.490270000000001</v>
      </c>
      <c r="K623" s="2" t="str">
        <f t="shared" si="37"/>
        <v>Available</v>
      </c>
      <c r="L623" s="2" t="s">
        <v>10</v>
      </c>
      <c r="M623" s="3">
        <v>45397</v>
      </c>
      <c r="N623" s="3" t="str">
        <f t="shared" si="38"/>
        <v>April</v>
      </c>
      <c r="O623" s="2" t="s">
        <v>12</v>
      </c>
      <c r="P623" t="str">
        <f t="shared" si="39"/>
        <v>OK</v>
      </c>
    </row>
    <row r="624" spans="1:16" x14ac:dyDescent="0.3">
      <c r="A624" s="2">
        <f t="shared" si="36"/>
        <v>623</v>
      </c>
      <c r="B624" s="2" t="s">
        <v>29</v>
      </c>
      <c r="C624" s="2" t="s">
        <v>11</v>
      </c>
      <c r="D624" s="1">
        <v>0.26600000000000001</v>
      </c>
      <c r="E624" s="1" t="str" cm="1">
        <f t="array" ref="E624">_xlfn.IFS(
D624&lt;20,"Light",
D624&lt;50,"Medium",
D624&lt;100,"Heavy",
D624&gt;=100,"Very Heavy")</f>
        <v>Light</v>
      </c>
      <c r="F624" s="2">
        <v>21</v>
      </c>
      <c r="G624" s="2" t="str" cm="1">
        <f t="array" ref="G624">_xlfn.IFS(
F624&lt;50,"Small",
F624&lt;100,"Medium",
F624&lt;150,"Large",
F624&gt;=150,"Very Large"
)</f>
        <v>Small</v>
      </c>
      <c r="H624" s="2" t="s">
        <v>33</v>
      </c>
      <c r="I624" s="2">
        <v>48.160559999999997</v>
      </c>
      <c r="J624" s="2">
        <v>11.490805999999999</v>
      </c>
      <c r="K624" s="2" t="str">
        <f t="shared" si="37"/>
        <v>Available</v>
      </c>
      <c r="L624" s="2" t="s">
        <v>10</v>
      </c>
      <c r="M624" s="3">
        <v>45397</v>
      </c>
      <c r="N624" s="3" t="str">
        <f t="shared" si="38"/>
        <v>April</v>
      </c>
      <c r="O624" s="2" t="s">
        <v>12</v>
      </c>
      <c r="P624" t="str">
        <f t="shared" si="39"/>
        <v>OK</v>
      </c>
    </row>
    <row r="625" spans="1:16" x14ac:dyDescent="0.3">
      <c r="A625" s="2">
        <f t="shared" si="36"/>
        <v>624</v>
      </c>
      <c r="B625" s="2" t="s">
        <v>30</v>
      </c>
      <c r="C625" s="2" t="s">
        <v>13</v>
      </c>
      <c r="D625" s="1">
        <v>0.5</v>
      </c>
      <c r="E625" s="1" t="str" cm="1">
        <f t="array" ref="E625">_xlfn.IFS(
D625&lt;20,"Light",
D625&lt;50,"Medium",
D625&lt;100,"Heavy",
D625&gt;=100,"Very Heavy")</f>
        <v>Light</v>
      </c>
      <c r="F625" s="2">
        <v>18</v>
      </c>
      <c r="G625" s="2" t="str" cm="1">
        <f t="array" ref="G625">_xlfn.IFS(
F625&lt;50,"Small",
F625&lt;100,"Medium",
F625&lt;150,"Large",
F625&gt;=150,"Very Large"
)</f>
        <v>Small</v>
      </c>
      <c r="H625" s="2" t="s">
        <v>33</v>
      </c>
      <c r="I625" s="2">
        <v>48.409908999999999</v>
      </c>
      <c r="J625" s="2">
        <v>18.867006</v>
      </c>
      <c r="K625" s="2" t="str">
        <f t="shared" si="37"/>
        <v>Available</v>
      </c>
      <c r="L625" s="2" t="s">
        <v>10</v>
      </c>
      <c r="M625" s="3">
        <v>45397</v>
      </c>
      <c r="N625" s="3" t="str">
        <f t="shared" si="38"/>
        <v>April</v>
      </c>
      <c r="O625" s="2" t="s">
        <v>14</v>
      </c>
      <c r="P625" t="str">
        <f t="shared" si="39"/>
        <v>OK</v>
      </c>
    </row>
    <row r="626" spans="1:16" x14ac:dyDescent="0.3">
      <c r="A626" s="2">
        <f t="shared" si="36"/>
        <v>625</v>
      </c>
      <c r="B626" s="2" t="s">
        <v>29</v>
      </c>
      <c r="C626" s="2" t="s">
        <v>15</v>
      </c>
      <c r="D626" s="1">
        <v>0.317</v>
      </c>
      <c r="E626" s="1" t="str" cm="1">
        <f t="array" ref="E626">_xlfn.IFS(
D626&lt;20,"Light",
D626&lt;50,"Medium",
D626&lt;100,"Heavy",
D626&gt;=100,"Very Heavy")</f>
        <v>Light</v>
      </c>
      <c r="F626" s="2">
        <v>19</v>
      </c>
      <c r="G626" s="2" t="str" cm="1">
        <f t="array" ref="G626">_xlfn.IFS(
F626&lt;50,"Small",
F626&lt;100,"Medium",
F626&lt;150,"Large",
F626&gt;=150,"Very Large"
)</f>
        <v>Small</v>
      </c>
      <c r="H626" s="2" t="s">
        <v>32</v>
      </c>
      <c r="I626" s="2">
        <v>50.106372999999998</v>
      </c>
      <c r="J626" s="2">
        <v>14.347574</v>
      </c>
      <c r="K626" s="2" t="str">
        <f t="shared" si="37"/>
        <v>Available</v>
      </c>
      <c r="L626" s="2" t="s">
        <v>10</v>
      </c>
      <c r="M626" s="3">
        <v>45397</v>
      </c>
      <c r="N626" s="3" t="str">
        <f t="shared" si="38"/>
        <v>April</v>
      </c>
      <c r="O626" s="2" t="s">
        <v>14</v>
      </c>
      <c r="P626" t="str">
        <f t="shared" si="39"/>
        <v>OK</v>
      </c>
    </row>
    <row r="627" spans="1:16" x14ac:dyDescent="0.3">
      <c r="A627" s="2">
        <f t="shared" si="36"/>
        <v>626</v>
      </c>
      <c r="B627" s="2" t="s">
        <v>30</v>
      </c>
      <c r="C627" s="2" t="s">
        <v>7</v>
      </c>
      <c r="D627" s="1">
        <v>0.5</v>
      </c>
      <c r="E627" s="1" t="str" cm="1">
        <f t="array" ref="E627">_xlfn.IFS(
D627&lt;20,"Light",
D627&lt;50,"Medium",
D627&lt;100,"Heavy",
D627&gt;=100,"Very Heavy")</f>
        <v>Light</v>
      </c>
      <c r="F627" s="2">
        <v>19</v>
      </c>
      <c r="G627" s="2" t="str" cm="1">
        <f t="array" ref="G627">_xlfn.IFS(
F627&lt;50,"Small",
F627&lt;100,"Medium",
F627&lt;150,"Large",
F627&gt;=150,"Very Large"
)</f>
        <v>Small</v>
      </c>
      <c r="H627" s="2" t="s">
        <v>33</v>
      </c>
      <c r="I627" s="2">
        <v>47.506430000000002</v>
      </c>
      <c r="J627" s="2">
        <v>18.947911999999999</v>
      </c>
      <c r="K627" s="2" t="str">
        <f t="shared" si="37"/>
        <v>Available</v>
      </c>
      <c r="L627" s="2" t="s">
        <v>10</v>
      </c>
      <c r="M627" s="3">
        <v>45398</v>
      </c>
      <c r="N627" s="3" t="str">
        <f t="shared" si="38"/>
        <v>April</v>
      </c>
      <c r="O627" s="2" t="s">
        <v>6</v>
      </c>
      <c r="P627" t="str">
        <f t="shared" si="39"/>
        <v>OK</v>
      </c>
    </row>
    <row r="628" spans="1:16" x14ac:dyDescent="0.3">
      <c r="A628" s="2">
        <f t="shared" si="36"/>
        <v>627</v>
      </c>
      <c r="B628" s="2" t="s">
        <v>30</v>
      </c>
      <c r="C628" s="2" t="s">
        <v>7</v>
      </c>
      <c r="D628" s="1">
        <v>0.6</v>
      </c>
      <c r="E628" s="1" t="str" cm="1">
        <f t="array" ref="E628">_xlfn.IFS(
D628&lt;20,"Light",
D628&lt;50,"Medium",
D628&lt;100,"Heavy",
D628&gt;=100,"Very Heavy")</f>
        <v>Light</v>
      </c>
      <c r="F628" s="2">
        <v>15</v>
      </c>
      <c r="G628" s="2" t="str" cm="1">
        <f t="array" ref="G628">_xlfn.IFS(
F628&lt;50,"Small",
F628&lt;100,"Medium",
F628&lt;150,"Large",
F628&gt;=150,"Very Large"
)</f>
        <v>Small</v>
      </c>
      <c r="H628" s="2" t="s">
        <v>32</v>
      </c>
      <c r="I628" s="2">
        <v>47.506663000000003</v>
      </c>
      <c r="J628" s="2">
        <v>18.94032</v>
      </c>
      <c r="K628" s="2" t="str">
        <f t="shared" si="37"/>
        <v>Available</v>
      </c>
      <c r="L628" s="2" t="s">
        <v>10</v>
      </c>
      <c r="M628" s="3">
        <v>45398</v>
      </c>
      <c r="N628" s="3" t="str">
        <f t="shared" si="38"/>
        <v>April</v>
      </c>
      <c r="O628" s="2" t="s">
        <v>6</v>
      </c>
      <c r="P628" t="str">
        <f t="shared" si="39"/>
        <v>OK</v>
      </c>
    </row>
    <row r="629" spans="1:16" x14ac:dyDescent="0.3">
      <c r="A629" s="2">
        <f t="shared" si="36"/>
        <v>628</v>
      </c>
      <c r="B629" s="2" t="s">
        <v>29</v>
      </c>
      <c r="C629" s="2" t="s">
        <v>7</v>
      </c>
      <c r="D629" s="1">
        <v>0.254</v>
      </c>
      <c r="E629" s="1" t="str" cm="1">
        <f t="array" ref="E629">_xlfn.IFS(
D629&lt;20,"Light",
D629&lt;50,"Medium",
D629&lt;100,"Heavy",
D629&gt;=100,"Very Heavy")</f>
        <v>Light</v>
      </c>
      <c r="F629" s="2">
        <v>20</v>
      </c>
      <c r="G629" s="2" t="str" cm="1">
        <f t="array" ref="G629">_xlfn.IFS(
F629&lt;50,"Small",
F629&lt;100,"Medium",
F629&lt;150,"Large",
F629&gt;=150,"Very Large"
)</f>
        <v>Small</v>
      </c>
      <c r="H629" s="2" t="s">
        <v>33</v>
      </c>
      <c r="I629" s="2">
        <v>47.508169000000002</v>
      </c>
      <c r="J629" s="2">
        <v>18.947417999999999</v>
      </c>
      <c r="K629" s="2" t="str">
        <f t="shared" si="37"/>
        <v>Available</v>
      </c>
      <c r="L629" s="2" t="s">
        <v>10</v>
      </c>
      <c r="M629" s="3">
        <v>45398</v>
      </c>
      <c r="N629" s="3" t="str">
        <f t="shared" si="38"/>
        <v>April</v>
      </c>
      <c r="O629" s="2" t="s">
        <v>6</v>
      </c>
      <c r="P629" t="str">
        <f t="shared" si="39"/>
        <v>OK</v>
      </c>
    </row>
    <row r="630" spans="1:16" x14ac:dyDescent="0.3">
      <c r="A630" s="2">
        <f t="shared" si="36"/>
        <v>629</v>
      </c>
      <c r="B630" s="2" t="s">
        <v>29</v>
      </c>
      <c r="C630" s="2" t="s">
        <v>11</v>
      </c>
      <c r="D630" s="1">
        <v>0.313</v>
      </c>
      <c r="E630" s="1" t="str" cm="1">
        <f t="array" ref="E630">_xlfn.IFS(
D630&lt;20,"Light",
D630&lt;50,"Medium",
D630&lt;100,"Heavy",
D630&gt;=100,"Very Heavy")</f>
        <v>Light</v>
      </c>
      <c r="F630" s="2">
        <v>19</v>
      </c>
      <c r="G630" s="2" t="str" cm="1">
        <f t="array" ref="G630">_xlfn.IFS(
F630&lt;50,"Small",
F630&lt;100,"Medium",
F630&lt;150,"Large",
F630&gt;=150,"Very Large"
)</f>
        <v>Small</v>
      </c>
      <c r="H630" s="2" t="s">
        <v>32</v>
      </c>
      <c r="I630" s="2">
        <v>48.161901999999998</v>
      </c>
      <c r="J630" s="2">
        <v>11.494579999999999</v>
      </c>
      <c r="K630" s="2" t="str">
        <f t="shared" si="37"/>
        <v>Available</v>
      </c>
      <c r="L630" s="2" t="s">
        <v>10</v>
      </c>
      <c r="M630" s="3">
        <v>45398</v>
      </c>
      <c r="N630" s="3" t="str">
        <f t="shared" si="38"/>
        <v>April</v>
      </c>
      <c r="O630" s="2" t="s">
        <v>12</v>
      </c>
      <c r="P630" t="str">
        <f t="shared" si="39"/>
        <v>OK</v>
      </c>
    </row>
    <row r="631" spans="1:16" x14ac:dyDescent="0.3">
      <c r="A631" s="2">
        <f t="shared" si="36"/>
        <v>630</v>
      </c>
      <c r="B631" s="2" t="s">
        <v>29</v>
      </c>
      <c r="C631" s="2" t="s">
        <v>11</v>
      </c>
      <c r="D631" s="1">
        <v>0.2</v>
      </c>
      <c r="E631" s="1" t="str" cm="1">
        <f t="array" ref="E631">_xlfn.IFS(
D631&lt;20,"Light",
D631&lt;50,"Medium",
D631&lt;100,"Heavy",
D631&gt;=100,"Very Heavy")</f>
        <v>Light</v>
      </c>
      <c r="F631" s="2">
        <v>14</v>
      </c>
      <c r="G631" s="2" t="str" cm="1">
        <f t="array" ref="G631">_xlfn.IFS(
F631&lt;50,"Small",
F631&lt;100,"Medium",
F631&lt;150,"Large",
F631&gt;=150,"Very Large"
)</f>
        <v>Small</v>
      </c>
      <c r="H631" s="2" t="s">
        <v>32</v>
      </c>
      <c r="I631" s="2">
        <v>49.554765000000003</v>
      </c>
      <c r="J631" s="2">
        <v>11.0922</v>
      </c>
      <c r="K631" s="2" t="str">
        <f t="shared" si="37"/>
        <v>Available</v>
      </c>
      <c r="L631" s="2" t="s">
        <v>10</v>
      </c>
      <c r="M631" s="3">
        <v>45398</v>
      </c>
      <c r="N631" s="3" t="str">
        <f t="shared" si="38"/>
        <v>April</v>
      </c>
      <c r="O631" s="2" t="s">
        <v>12</v>
      </c>
      <c r="P631" t="str">
        <f t="shared" si="39"/>
        <v>OK</v>
      </c>
    </row>
    <row r="632" spans="1:16" x14ac:dyDescent="0.3">
      <c r="A632" s="2">
        <f t="shared" si="36"/>
        <v>631</v>
      </c>
      <c r="B632" s="2" t="s">
        <v>29</v>
      </c>
      <c r="C632" s="2" t="s">
        <v>11</v>
      </c>
      <c r="D632" s="1">
        <v>0.27800000000000002</v>
      </c>
      <c r="E632" s="1" t="str" cm="1">
        <f t="array" ref="E632">_xlfn.IFS(
D632&lt;20,"Light",
D632&lt;50,"Medium",
D632&lt;100,"Heavy",
D632&gt;=100,"Very Heavy")</f>
        <v>Light</v>
      </c>
      <c r="F632" s="2">
        <v>18</v>
      </c>
      <c r="G632" s="2" t="str" cm="1">
        <f t="array" ref="G632">_xlfn.IFS(
F632&lt;50,"Small",
F632&lt;100,"Medium",
F632&lt;150,"Large",
F632&gt;=150,"Very Large"
)</f>
        <v>Small</v>
      </c>
      <c r="H632" s="2" t="s">
        <v>33</v>
      </c>
      <c r="I632" s="2">
        <v>49.558466000000003</v>
      </c>
      <c r="J632" s="2">
        <v>11.096048</v>
      </c>
      <c r="K632" s="2" t="str">
        <f t="shared" si="37"/>
        <v>Available</v>
      </c>
      <c r="L632" s="2" t="s">
        <v>10</v>
      </c>
      <c r="M632" s="3">
        <v>45398</v>
      </c>
      <c r="N632" s="3" t="str">
        <f t="shared" si="38"/>
        <v>April</v>
      </c>
      <c r="O632" s="2" t="s">
        <v>12</v>
      </c>
      <c r="P632" t="str">
        <f t="shared" si="39"/>
        <v>OK</v>
      </c>
    </row>
    <row r="633" spans="1:16" x14ac:dyDescent="0.3">
      <c r="A633" s="2">
        <f t="shared" si="36"/>
        <v>632</v>
      </c>
      <c r="B633" s="2" t="s">
        <v>30</v>
      </c>
      <c r="C633" s="2" t="s">
        <v>13</v>
      </c>
      <c r="D633" s="1">
        <v>0.6</v>
      </c>
      <c r="E633" s="1" t="str" cm="1">
        <f t="array" ref="E633">_xlfn.IFS(
D633&lt;20,"Light",
D633&lt;50,"Medium",
D633&lt;100,"Heavy",
D633&gt;=100,"Very Heavy")</f>
        <v>Light</v>
      </c>
      <c r="F633" s="2">
        <v>25</v>
      </c>
      <c r="G633" s="2" t="str" cm="1">
        <f t="array" ref="G633">_xlfn.IFS(
F633&lt;50,"Small",
F633&lt;100,"Medium",
F633&lt;150,"Large",
F633&gt;=150,"Very Large"
)</f>
        <v>Small</v>
      </c>
      <c r="H633" s="2" t="s">
        <v>32</v>
      </c>
      <c r="I633" s="2">
        <v>48.407604999999997</v>
      </c>
      <c r="J633" s="2">
        <v>18.876341</v>
      </c>
      <c r="K633" s="2" t="str">
        <f t="shared" si="37"/>
        <v>Available</v>
      </c>
      <c r="L633" s="2" t="s">
        <v>10</v>
      </c>
      <c r="M633" s="3">
        <v>45398</v>
      </c>
      <c r="N633" s="3" t="str">
        <f t="shared" si="38"/>
        <v>April</v>
      </c>
      <c r="O633" s="2" t="s">
        <v>14</v>
      </c>
      <c r="P633" t="str">
        <f t="shared" si="39"/>
        <v>OK</v>
      </c>
    </row>
    <row r="634" spans="1:16" x14ac:dyDescent="0.3">
      <c r="A634" s="2">
        <f t="shared" si="36"/>
        <v>633</v>
      </c>
      <c r="B634" s="2" t="s">
        <v>29</v>
      </c>
      <c r="C634" s="2" t="s">
        <v>4</v>
      </c>
      <c r="D634" s="1">
        <v>0.29799999999999999</v>
      </c>
      <c r="E634" s="1" t="str" cm="1">
        <f t="array" ref="E634">_xlfn.IFS(
D634&lt;20,"Light",
D634&lt;50,"Medium",
D634&lt;100,"Heavy",
D634&gt;=100,"Very Heavy")</f>
        <v>Light</v>
      </c>
      <c r="F634" s="2">
        <v>19</v>
      </c>
      <c r="G634" s="2" t="str" cm="1">
        <f t="array" ref="G634">_xlfn.IFS(
F634&lt;50,"Small",
F634&lt;100,"Medium",
F634&lt;150,"Large",
F634&gt;=150,"Very Large"
)</f>
        <v>Small</v>
      </c>
      <c r="H634" s="2" t="s">
        <v>33</v>
      </c>
      <c r="I634" s="2">
        <v>52.212378999999999</v>
      </c>
      <c r="J634" s="2">
        <v>21.032913000000001</v>
      </c>
      <c r="K634" s="2" t="str">
        <f t="shared" si="37"/>
        <v>Available</v>
      </c>
      <c r="L634" s="2" t="s">
        <v>10</v>
      </c>
      <c r="M634" s="3">
        <v>45399</v>
      </c>
      <c r="N634" s="3" t="str">
        <f t="shared" si="38"/>
        <v>April</v>
      </c>
      <c r="O634" s="2" t="s">
        <v>6</v>
      </c>
      <c r="P634" t="str">
        <f t="shared" si="39"/>
        <v>OK</v>
      </c>
    </row>
    <row r="635" spans="1:16" x14ac:dyDescent="0.3">
      <c r="A635" s="2">
        <f t="shared" si="36"/>
        <v>634</v>
      </c>
      <c r="B635" s="2" t="s">
        <v>30</v>
      </c>
      <c r="C635" s="2" t="s">
        <v>11</v>
      </c>
      <c r="D635" s="1">
        <v>0.7</v>
      </c>
      <c r="E635" s="1" t="str" cm="1">
        <f t="array" ref="E635">_xlfn.IFS(
D635&lt;20,"Light",
D635&lt;50,"Medium",
D635&lt;100,"Heavy",
D635&gt;=100,"Very Heavy")</f>
        <v>Light</v>
      </c>
      <c r="F635" s="2">
        <v>21</v>
      </c>
      <c r="G635" s="2" t="str" cm="1">
        <f t="array" ref="G635">_xlfn.IFS(
F635&lt;50,"Small",
F635&lt;100,"Medium",
F635&lt;150,"Large",
F635&gt;=150,"Very Large"
)</f>
        <v>Small</v>
      </c>
      <c r="H635" s="2" t="s">
        <v>32</v>
      </c>
      <c r="I635" s="2">
        <v>49.556052000000001</v>
      </c>
      <c r="J635" s="2">
        <v>11.081500999999999</v>
      </c>
      <c r="K635" s="2" t="str">
        <f t="shared" si="37"/>
        <v>Available</v>
      </c>
      <c r="L635" s="2" t="s">
        <v>10</v>
      </c>
      <c r="M635" s="3">
        <v>45399</v>
      </c>
      <c r="N635" s="3" t="str">
        <f t="shared" si="38"/>
        <v>April</v>
      </c>
      <c r="O635" s="2" t="s">
        <v>12</v>
      </c>
      <c r="P635" t="str">
        <f t="shared" si="39"/>
        <v>OK</v>
      </c>
    </row>
    <row r="636" spans="1:16" x14ac:dyDescent="0.3">
      <c r="A636" s="2">
        <f t="shared" si="36"/>
        <v>635</v>
      </c>
      <c r="B636" s="2" t="s">
        <v>30</v>
      </c>
      <c r="C636" s="2" t="s">
        <v>11</v>
      </c>
      <c r="D636" s="1">
        <v>1.2</v>
      </c>
      <c r="E636" s="1" t="str" cm="1">
        <f t="array" ref="E636">_xlfn.IFS(
D636&lt;20,"Light",
D636&lt;50,"Medium",
D636&lt;100,"Heavy",
D636&gt;=100,"Very Heavy")</f>
        <v>Light</v>
      </c>
      <c r="F636" s="2">
        <v>28</v>
      </c>
      <c r="G636" s="2" t="str" cm="1">
        <f t="array" ref="G636">_xlfn.IFS(
F636&lt;50,"Small",
F636&lt;100,"Medium",
F636&lt;150,"Large",
F636&gt;=150,"Very Large"
)</f>
        <v>Small</v>
      </c>
      <c r="H636" s="2" t="s">
        <v>32</v>
      </c>
      <c r="I636" s="2">
        <v>49.551519999999996</v>
      </c>
      <c r="J636" s="2">
        <v>11.079537</v>
      </c>
      <c r="K636" s="2" t="str">
        <f t="shared" si="37"/>
        <v>Available</v>
      </c>
      <c r="L636" s="2" t="s">
        <v>10</v>
      </c>
      <c r="M636" s="3">
        <v>45399</v>
      </c>
      <c r="N636" s="3" t="str">
        <f t="shared" si="38"/>
        <v>April</v>
      </c>
      <c r="O636" s="2" t="s">
        <v>12</v>
      </c>
      <c r="P636" t="str">
        <f t="shared" si="39"/>
        <v>OK</v>
      </c>
    </row>
    <row r="637" spans="1:16" x14ac:dyDescent="0.3">
      <c r="A637" s="2">
        <f t="shared" si="36"/>
        <v>636</v>
      </c>
      <c r="B637" s="2" t="s">
        <v>30</v>
      </c>
      <c r="C637" s="2" t="s">
        <v>11</v>
      </c>
      <c r="D637" s="1">
        <v>0.5</v>
      </c>
      <c r="E637" s="1" t="str" cm="1">
        <f t="array" ref="E637">_xlfn.IFS(
D637&lt;20,"Light",
D637&lt;50,"Medium",
D637&lt;100,"Heavy",
D637&gt;=100,"Very Heavy")</f>
        <v>Light</v>
      </c>
      <c r="F637" s="2">
        <v>18</v>
      </c>
      <c r="G637" s="2" t="str" cm="1">
        <f t="array" ref="G637">_xlfn.IFS(
F637&lt;50,"Small",
F637&lt;100,"Medium",
F637&lt;150,"Large",
F637&gt;=150,"Very Large"
)</f>
        <v>Small</v>
      </c>
      <c r="H637" s="2" t="s">
        <v>33</v>
      </c>
      <c r="I637" s="2">
        <v>49.553736999999998</v>
      </c>
      <c r="J637" s="2">
        <v>11.087705</v>
      </c>
      <c r="K637" s="2" t="str">
        <f t="shared" si="37"/>
        <v>Available</v>
      </c>
      <c r="L637" s="2" t="s">
        <v>10</v>
      </c>
      <c r="M637" s="3">
        <v>45399</v>
      </c>
      <c r="N637" s="3" t="str">
        <f t="shared" si="38"/>
        <v>April</v>
      </c>
      <c r="O637" s="2" t="s">
        <v>12</v>
      </c>
      <c r="P637" t="str">
        <f t="shared" si="39"/>
        <v>OK</v>
      </c>
    </row>
    <row r="638" spans="1:16" x14ac:dyDescent="0.3">
      <c r="A638" s="2">
        <f t="shared" si="36"/>
        <v>637</v>
      </c>
      <c r="B638" s="2" t="s">
        <v>30</v>
      </c>
      <c r="C638" s="2" t="s">
        <v>11</v>
      </c>
      <c r="D638" s="1">
        <v>1</v>
      </c>
      <c r="E638" s="1" t="str" cm="1">
        <f t="array" ref="E638">_xlfn.IFS(
D638&lt;20,"Light",
D638&lt;50,"Medium",
D638&lt;100,"Heavy",
D638&gt;=100,"Very Heavy")</f>
        <v>Light</v>
      </c>
      <c r="F638" s="2">
        <v>20</v>
      </c>
      <c r="G638" s="2" t="str" cm="1">
        <f t="array" ref="G638">_xlfn.IFS(
F638&lt;50,"Small",
F638&lt;100,"Medium",
F638&lt;150,"Large",
F638&gt;=150,"Very Large"
)</f>
        <v>Small</v>
      </c>
      <c r="H638" s="2" t="s">
        <v>32</v>
      </c>
      <c r="I638" s="2">
        <v>49.560442000000002</v>
      </c>
      <c r="J638" s="2">
        <v>11.098395</v>
      </c>
      <c r="K638" s="2" t="str">
        <f t="shared" si="37"/>
        <v>Available</v>
      </c>
      <c r="L638" s="2" t="s">
        <v>10</v>
      </c>
      <c r="M638" s="3">
        <v>45399</v>
      </c>
      <c r="N638" s="3" t="str">
        <f t="shared" si="38"/>
        <v>April</v>
      </c>
      <c r="O638" s="2" t="s">
        <v>12</v>
      </c>
      <c r="P638" t="str">
        <f t="shared" si="39"/>
        <v>OK</v>
      </c>
    </row>
    <row r="639" spans="1:16" x14ac:dyDescent="0.3">
      <c r="A639" s="2">
        <f t="shared" si="36"/>
        <v>638</v>
      </c>
      <c r="B639" s="2" t="s">
        <v>30</v>
      </c>
      <c r="C639" s="2" t="s">
        <v>11</v>
      </c>
      <c r="D639" s="1">
        <v>0.9</v>
      </c>
      <c r="E639" s="1" t="str" cm="1">
        <f t="array" ref="E639">_xlfn.IFS(
D639&lt;20,"Light",
D639&lt;50,"Medium",
D639&lt;100,"Heavy",
D639&gt;=100,"Very Heavy")</f>
        <v>Light</v>
      </c>
      <c r="F639" s="2">
        <v>25</v>
      </c>
      <c r="G639" s="2" t="str" cm="1">
        <f t="array" ref="G639">_xlfn.IFS(
F639&lt;50,"Small",
F639&lt;100,"Medium",
F639&lt;150,"Large",
F639&gt;=150,"Very Large"
)</f>
        <v>Small</v>
      </c>
      <c r="H639" s="2" t="s">
        <v>32</v>
      </c>
      <c r="I639" s="2">
        <v>49.560723000000003</v>
      </c>
      <c r="J639" s="2">
        <v>11.084667</v>
      </c>
      <c r="K639" s="2" t="str">
        <f t="shared" si="37"/>
        <v>Available</v>
      </c>
      <c r="L639" s="2" t="s">
        <v>10</v>
      </c>
      <c r="M639" s="3">
        <v>45399</v>
      </c>
      <c r="N639" s="3" t="str">
        <f t="shared" si="38"/>
        <v>April</v>
      </c>
      <c r="O639" s="2" t="s">
        <v>12</v>
      </c>
      <c r="P639" t="str">
        <f t="shared" si="39"/>
        <v>OK</v>
      </c>
    </row>
    <row r="640" spans="1:16" x14ac:dyDescent="0.3">
      <c r="A640" s="2">
        <f t="shared" si="36"/>
        <v>639</v>
      </c>
      <c r="B640" s="2" t="s">
        <v>30</v>
      </c>
      <c r="C640" s="2" t="s">
        <v>11</v>
      </c>
      <c r="D640" s="1">
        <v>0.4</v>
      </c>
      <c r="E640" s="1" t="str" cm="1">
        <f t="array" ref="E640">_xlfn.IFS(
D640&lt;20,"Light",
D640&lt;50,"Medium",
D640&lt;100,"Heavy",
D640&gt;=100,"Very Heavy")</f>
        <v>Light</v>
      </c>
      <c r="F640" s="2">
        <v>16</v>
      </c>
      <c r="G640" s="2" t="str" cm="1">
        <f t="array" ref="G640">_xlfn.IFS(
F640&lt;50,"Small",
F640&lt;100,"Medium",
F640&lt;150,"Large",
F640&gt;=150,"Very Large"
)</f>
        <v>Small</v>
      </c>
      <c r="H640" s="2" t="s">
        <v>33</v>
      </c>
      <c r="I640" s="2">
        <v>49.558790000000002</v>
      </c>
      <c r="J640" s="2">
        <v>11.081218</v>
      </c>
      <c r="K640" s="2" t="str">
        <f t="shared" si="37"/>
        <v>Available</v>
      </c>
      <c r="L640" s="2" t="s">
        <v>10</v>
      </c>
      <c r="M640" s="3">
        <v>45399</v>
      </c>
      <c r="N640" s="3" t="str">
        <f t="shared" si="38"/>
        <v>April</v>
      </c>
      <c r="O640" s="2" t="s">
        <v>12</v>
      </c>
      <c r="P640" t="str">
        <f t="shared" si="39"/>
        <v>OK</v>
      </c>
    </row>
    <row r="641" spans="1:16" x14ac:dyDescent="0.3">
      <c r="A641" s="2">
        <f t="shared" si="36"/>
        <v>640</v>
      </c>
      <c r="B641" s="2" t="s">
        <v>29</v>
      </c>
      <c r="C641" s="2" t="s">
        <v>11</v>
      </c>
      <c r="D641" s="1">
        <v>0.29399999999999998</v>
      </c>
      <c r="E641" s="1" t="str" cm="1">
        <f t="array" ref="E641">_xlfn.IFS(
D641&lt;20,"Light",
D641&lt;50,"Medium",
D641&lt;100,"Heavy",
D641&gt;=100,"Very Heavy")</f>
        <v>Light</v>
      </c>
      <c r="F641" s="2">
        <v>20</v>
      </c>
      <c r="G641" s="2" t="str" cm="1">
        <f t="array" ref="G641">_xlfn.IFS(
F641&lt;50,"Small",
F641&lt;100,"Medium",
F641&lt;150,"Large",
F641&gt;=150,"Very Large"
)</f>
        <v>Small</v>
      </c>
      <c r="H641" s="2" t="s">
        <v>32</v>
      </c>
      <c r="I641" s="2">
        <v>49.545856999999998</v>
      </c>
      <c r="J641" s="2">
        <v>11.076254</v>
      </c>
      <c r="K641" s="2" t="str">
        <f t="shared" si="37"/>
        <v>Available</v>
      </c>
      <c r="L641" s="2" t="s">
        <v>10</v>
      </c>
      <c r="M641" s="3">
        <v>45399</v>
      </c>
      <c r="N641" s="3" t="str">
        <f t="shared" si="38"/>
        <v>April</v>
      </c>
      <c r="O641" s="2" t="s">
        <v>12</v>
      </c>
      <c r="P641" t="str">
        <f t="shared" si="39"/>
        <v>OK</v>
      </c>
    </row>
    <row r="642" spans="1:16" x14ac:dyDescent="0.3">
      <c r="A642" s="2">
        <f t="shared" si="36"/>
        <v>641</v>
      </c>
      <c r="B642" s="2" t="s">
        <v>29</v>
      </c>
      <c r="C642" s="2" t="s">
        <v>11</v>
      </c>
      <c r="D642" s="1">
        <v>0.3</v>
      </c>
      <c r="E642" s="1" t="str" cm="1">
        <f t="array" ref="E642">_xlfn.IFS(
D642&lt;20,"Light",
D642&lt;50,"Medium",
D642&lt;100,"Heavy",
D642&gt;=100,"Very Heavy")</f>
        <v>Light</v>
      </c>
      <c r="F642" s="2">
        <v>23</v>
      </c>
      <c r="G642" s="2" t="str" cm="1">
        <f t="array" ref="G642">_xlfn.IFS(
F642&lt;50,"Small",
F642&lt;100,"Medium",
F642&lt;150,"Large",
F642&gt;=150,"Very Large"
)</f>
        <v>Small</v>
      </c>
      <c r="H642" s="2" t="s">
        <v>33</v>
      </c>
      <c r="I642" s="2">
        <v>49.554684999999999</v>
      </c>
      <c r="J642" s="2">
        <v>11.083449999999999</v>
      </c>
      <c r="K642" s="2" t="str">
        <f t="shared" si="37"/>
        <v>Available</v>
      </c>
      <c r="L642" s="2" t="s">
        <v>10</v>
      </c>
      <c r="M642" s="3">
        <v>45399</v>
      </c>
      <c r="N642" s="3" t="str">
        <f t="shared" si="38"/>
        <v>April</v>
      </c>
      <c r="O642" s="2" t="s">
        <v>12</v>
      </c>
      <c r="P642" t="str">
        <f t="shared" si="39"/>
        <v>OK</v>
      </c>
    </row>
    <row r="643" spans="1:16" x14ac:dyDescent="0.3">
      <c r="A643" s="2">
        <f t="shared" ref="A643:A706" si="40">ROW()-1</f>
        <v>642</v>
      </c>
      <c r="B643" s="2" t="s">
        <v>30</v>
      </c>
      <c r="C643" s="2" t="s">
        <v>13</v>
      </c>
      <c r="D643" s="1">
        <v>1.1000000000000001</v>
      </c>
      <c r="E643" s="1" t="str" cm="1">
        <f t="array" ref="E643">_xlfn.IFS(
D643&lt;20,"Light",
D643&lt;50,"Medium",
D643&lt;100,"Heavy",
D643&gt;=100,"Very Heavy")</f>
        <v>Light</v>
      </c>
      <c r="F643" s="2">
        <v>23</v>
      </c>
      <c r="G643" s="2" t="str" cm="1">
        <f t="array" ref="G643">_xlfn.IFS(
F643&lt;50,"Small",
F643&lt;100,"Medium",
F643&lt;150,"Large",
F643&gt;=150,"Very Large"
)</f>
        <v>Small</v>
      </c>
      <c r="H643" s="2" t="s">
        <v>32</v>
      </c>
      <c r="I643" s="2">
        <v>48.186112000000001</v>
      </c>
      <c r="J643" s="2">
        <v>17.090491</v>
      </c>
      <c r="K643" s="2" t="str">
        <f t="shared" ref="K643:K706" si="41">IF(OR(I643="",J643=""),"Missing Location","Available")</f>
        <v>Available</v>
      </c>
      <c r="L643" s="2" t="s">
        <v>10</v>
      </c>
      <c r="M643" s="3">
        <v>45399</v>
      </c>
      <c r="N643" s="3" t="str">
        <f t="shared" ref="N643:N706" si="42">TEXT(M643,"mmmm")</f>
        <v>April</v>
      </c>
      <c r="O643" s="2" t="s">
        <v>14</v>
      </c>
      <c r="P643" t="str">
        <f t="shared" ref="P643:P706" si="43">IF(OR(B643="",C643="",D643="",E643="",J643=""),"Needs Review","OK")</f>
        <v>OK</v>
      </c>
    </row>
    <row r="644" spans="1:16" x14ac:dyDescent="0.3">
      <c r="A644" s="2">
        <f t="shared" si="40"/>
        <v>643</v>
      </c>
      <c r="B644" s="2" t="s">
        <v>28</v>
      </c>
      <c r="C644" s="2" t="s">
        <v>13</v>
      </c>
      <c r="D644" s="1">
        <v>27</v>
      </c>
      <c r="E644" s="1" t="str" cm="1">
        <f t="array" ref="E644">_xlfn.IFS(
D644&lt;20,"Light",
D644&lt;50,"Medium",
D644&lt;100,"Heavy",
D644&gt;=100,"Very Heavy")</f>
        <v>Medium</v>
      </c>
      <c r="F644" s="2">
        <v>100</v>
      </c>
      <c r="G644" s="2" t="str" cm="1">
        <f t="array" ref="G644">_xlfn.IFS(
F644&lt;50,"Small",
F644&lt;100,"Medium",
F644&lt;150,"Large",
F644&gt;=150,"Very Large"
)</f>
        <v>Large</v>
      </c>
      <c r="H644" s="2" t="s">
        <v>32</v>
      </c>
      <c r="I644" s="2">
        <v>48.411116999999997</v>
      </c>
      <c r="J644" s="2">
        <v>18.862265000000001</v>
      </c>
      <c r="K644" s="2" t="str">
        <f t="shared" si="41"/>
        <v>Available</v>
      </c>
      <c r="L644" s="2" t="s">
        <v>10</v>
      </c>
      <c r="M644" s="3">
        <v>45399</v>
      </c>
      <c r="N644" s="3" t="str">
        <f t="shared" si="42"/>
        <v>April</v>
      </c>
      <c r="O644" s="2" t="s">
        <v>14</v>
      </c>
      <c r="P644" t="str">
        <f t="shared" si="43"/>
        <v>OK</v>
      </c>
    </row>
    <row r="645" spans="1:16" x14ac:dyDescent="0.3">
      <c r="A645" s="2">
        <f t="shared" si="40"/>
        <v>644</v>
      </c>
      <c r="B645" s="2" t="s">
        <v>29</v>
      </c>
      <c r="C645" s="2" t="s">
        <v>15</v>
      </c>
      <c r="D645" s="1">
        <v>0.28299999999999997</v>
      </c>
      <c r="E645" s="1" t="str" cm="1">
        <f t="array" ref="E645">_xlfn.IFS(
D645&lt;20,"Light",
D645&lt;50,"Medium",
D645&lt;100,"Heavy",
D645&gt;=100,"Very Heavy")</f>
        <v>Light</v>
      </c>
      <c r="F645" s="2">
        <v>22</v>
      </c>
      <c r="G645" s="2" t="str" cm="1">
        <f t="array" ref="G645">_xlfn.IFS(
F645&lt;50,"Small",
F645&lt;100,"Medium",
F645&lt;150,"Large",
F645&gt;=150,"Very Large"
)</f>
        <v>Small</v>
      </c>
      <c r="H645" s="2" t="s">
        <v>33</v>
      </c>
      <c r="I645" s="2">
        <v>50.106413000000003</v>
      </c>
      <c r="J645" s="2">
        <v>14.348204000000001</v>
      </c>
      <c r="K645" s="2" t="str">
        <f t="shared" si="41"/>
        <v>Available</v>
      </c>
      <c r="L645" s="2" t="s">
        <v>10</v>
      </c>
      <c r="M645" s="3">
        <v>45399</v>
      </c>
      <c r="N645" s="3" t="str">
        <f t="shared" si="42"/>
        <v>April</v>
      </c>
      <c r="O645" s="2" t="s">
        <v>14</v>
      </c>
      <c r="P645" t="str">
        <f t="shared" si="43"/>
        <v>OK</v>
      </c>
    </row>
    <row r="646" spans="1:16" x14ac:dyDescent="0.3">
      <c r="A646" s="2">
        <f t="shared" si="40"/>
        <v>645</v>
      </c>
      <c r="B646" s="2" t="s">
        <v>29</v>
      </c>
      <c r="C646" s="2" t="s">
        <v>15</v>
      </c>
      <c r="D646" s="1">
        <v>0.28000000000000003</v>
      </c>
      <c r="E646" s="1" t="str" cm="1">
        <f t="array" ref="E646">_xlfn.IFS(
D646&lt;20,"Light",
D646&lt;50,"Medium",
D646&lt;100,"Heavy",
D646&gt;=100,"Very Heavy")</f>
        <v>Light</v>
      </c>
      <c r="F646" s="2">
        <v>22</v>
      </c>
      <c r="G646" s="2" t="str" cm="1">
        <f t="array" ref="G646">_xlfn.IFS(
F646&lt;50,"Small",
F646&lt;100,"Medium",
F646&lt;150,"Large",
F646&gt;=150,"Very Large"
)</f>
        <v>Small</v>
      </c>
      <c r="H646" s="2" t="s">
        <v>33</v>
      </c>
      <c r="I646" s="2">
        <v>50.107135</v>
      </c>
      <c r="J646" s="2">
        <v>14.348205999999999</v>
      </c>
      <c r="K646" s="2" t="str">
        <f t="shared" si="41"/>
        <v>Available</v>
      </c>
      <c r="L646" s="2" t="s">
        <v>10</v>
      </c>
      <c r="M646" s="3">
        <v>45399</v>
      </c>
      <c r="N646" s="3" t="str">
        <f t="shared" si="42"/>
        <v>April</v>
      </c>
      <c r="O646" s="2" t="s">
        <v>14</v>
      </c>
      <c r="P646" t="str">
        <f t="shared" si="43"/>
        <v>OK</v>
      </c>
    </row>
    <row r="647" spans="1:16" x14ac:dyDescent="0.3">
      <c r="A647" s="2">
        <f t="shared" si="40"/>
        <v>646</v>
      </c>
      <c r="B647" s="2" t="s">
        <v>27</v>
      </c>
      <c r="C647" s="2" t="s">
        <v>4</v>
      </c>
      <c r="D647" s="1">
        <v>405</v>
      </c>
      <c r="E647" s="1" t="str" cm="1">
        <f t="array" ref="E647">_xlfn.IFS(
D647&lt;20,"Light",
D647&lt;50,"Medium",
D647&lt;100,"Heavy",
D647&gt;=100,"Very Heavy")</f>
        <v>Very Heavy</v>
      </c>
      <c r="F647" s="2">
        <v>220</v>
      </c>
      <c r="G647" s="2" t="str" cm="1">
        <f t="array" ref="G647">_xlfn.IFS(
F647&lt;50,"Small",
F647&lt;100,"Medium",
F647&lt;150,"Large",
F647&gt;=150,"Very Large"
)</f>
        <v>Very Large</v>
      </c>
      <c r="H647" s="2" t="s">
        <v>33</v>
      </c>
      <c r="I647" s="2">
        <v>52.804031000000002</v>
      </c>
      <c r="J647" s="2">
        <v>23.683032000000001</v>
      </c>
      <c r="K647" s="2" t="str">
        <f t="shared" si="41"/>
        <v>Available</v>
      </c>
      <c r="L647" s="2" t="s">
        <v>10</v>
      </c>
      <c r="M647" s="3">
        <v>45400</v>
      </c>
      <c r="N647" s="3" t="str">
        <f t="shared" si="42"/>
        <v>April</v>
      </c>
      <c r="O647" s="2" t="s">
        <v>6</v>
      </c>
      <c r="P647" t="str">
        <f t="shared" si="43"/>
        <v>OK</v>
      </c>
    </row>
    <row r="648" spans="1:16" x14ac:dyDescent="0.3">
      <c r="A648" s="2">
        <f t="shared" si="40"/>
        <v>647</v>
      </c>
      <c r="B648" s="2" t="s">
        <v>30</v>
      </c>
      <c r="C648" s="2" t="s">
        <v>11</v>
      </c>
      <c r="D648" s="1">
        <v>1</v>
      </c>
      <c r="E648" s="1" t="str" cm="1">
        <f t="array" ref="E648">_xlfn.IFS(
D648&lt;20,"Light",
D648&lt;50,"Medium",
D648&lt;100,"Heavy",
D648&gt;=100,"Very Heavy")</f>
        <v>Light</v>
      </c>
      <c r="F648" s="2">
        <v>24</v>
      </c>
      <c r="G648" s="2" t="str" cm="1">
        <f t="array" ref="G648">_xlfn.IFS(
F648&lt;50,"Small",
F648&lt;100,"Medium",
F648&lt;150,"Large",
F648&gt;=150,"Very Large"
)</f>
        <v>Small</v>
      </c>
      <c r="H648" s="2" t="s">
        <v>32</v>
      </c>
      <c r="I648" s="2">
        <v>49.561056999999998</v>
      </c>
      <c r="J648" s="2">
        <v>11.084334</v>
      </c>
      <c r="K648" s="2" t="str">
        <f t="shared" si="41"/>
        <v>Available</v>
      </c>
      <c r="L648" s="2" t="s">
        <v>10</v>
      </c>
      <c r="M648" s="3">
        <v>45400</v>
      </c>
      <c r="N648" s="3" t="str">
        <f t="shared" si="42"/>
        <v>April</v>
      </c>
      <c r="O648" s="2" t="s">
        <v>12</v>
      </c>
      <c r="P648" t="str">
        <f t="shared" si="43"/>
        <v>OK</v>
      </c>
    </row>
    <row r="649" spans="1:16" x14ac:dyDescent="0.3">
      <c r="A649" s="2">
        <f t="shared" si="40"/>
        <v>648</v>
      </c>
      <c r="B649" s="2" t="s">
        <v>30</v>
      </c>
      <c r="C649" s="2" t="s">
        <v>11</v>
      </c>
      <c r="D649" s="1">
        <v>0.6</v>
      </c>
      <c r="E649" s="1" t="str" cm="1">
        <f t="array" ref="E649">_xlfn.IFS(
D649&lt;20,"Light",
D649&lt;50,"Medium",
D649&lt;100,"Heavy",
D649&gt;=100,"Very Heavy")</f>
        <v>Light</v>
      </c>
      <c r="F649" s="2">
        <v>11</v>
      </c>
      <c r="G649" s="2" t="str" cm="1">
        <f t="array" ref="G649">_xlfn.IFS(
F649&lt;50,"Small",
F649&lt;100,"Medium",
F649&lt;150,"Large",
F649&gt;=150,"Very Large"
)</f>
        <v>Small</v>
      </c>
      <c r="H649" s="2" t="s">
        <v>32</v>
      </c>
      <c r="I649" s="2">
        <v>49.557054999999998</v>
      </c>
      <c r="J649" s="2">
        <v>11.101996</v>
      </c>
      <c r="K649" s="2" t="str">
        <f t="shared" si="41"/>
        <v>Available</v>
      </c>
      <c r="L649" s="2" t="s">
        <v>10</v>
      </c>
      <c r="M649" s="3">
        <v>45400</v>
      </c>
      <c r="N649" s="3" t="str">
        <f t="shared" si="42"/>
        <v>April</v>
      </c>
      <c r="O649" s="2" t="s">
        <v>12</v>
      </c>
      <c r="P649" t="str">
        <f t="shared" si="43"/>
        <v>OK</v>
      </c>
    </row>
    <row r="650" spans="1:16" x14ac:dyDescent="0.3">
      <c r="A650" s="2">
        <f t="shared" si="40"/>
        <v>649</v>
      </c>
      <c r="B650" s="2" t="s">
        <v>30</v>
      </c>
      <c r="C650" s="2" t="s">
        <v>11</v>
      </c>
      <c r="D650" s="1">
        <v>0.7</v>
      </c>
      <c r="E650" s="1" t="str" cm="1">
        <f t="array" ref="E650">_xlfn.IFS(
D650&lt;20,"Light",
D650&lt;50,"Medium",
D650&lt;100,"Heavy",
D650&gt;=100,"Very Heavy")</f>
        <v>Light</v>
      </c>
      <c r="F650" s="2">
        <v>25</v>
      </c>
      <c r="G650" s="2" t="str" cm="1">
        <f t="array" ref="G650">_xlfn.IFS(
F650&lt;50,"Small",
F650&lt;100,"Medium",
F650&lt;150,"Large",
F650&gt;=150,"Very Large"
)</f>
        <v>Small</v>
      </c>
      <c r="H650" s="2" t="s">
        <v>32</v>
      </c>
      <c r="I650" s="2">
        <v>49.554133</v>
      </c>
      <c r="J650" s="2">
        <v>11.089674</v>
      </c>
      <c r="K650" s="2" t="str">
        <f t="shared" si="41"/>
        <v>Available</v>
      </c>
      <c r="L650" s="2" t="s">
        <v>10</v>
      </c>
      <c r="M650" s="3">
        <v>45400</v>
      </c>
      <c r="N650" s="3" t="str">
        <f t="shared" si="42"/>
        <v>April</v>
      </c>
      <c r="O650" s="2" t="s">
        <v>12</v>
      </c>
      <c r="P650" t="str">
        <f t="shared" si="43"/>
        <v>OK</v>
      </c>
    </row>
    <row r="651" spans="1:16" x14ac:dyDescent="0.3">
      <c r="A651" s="2">
        <f t="shared" si="40"/>
        <v>650</v>
      </c>
      <c r="B651" s="2" t="s">
        <v>30</v>
      </c>
      <c r="C651" s="2" t="s">
        <v>11</v>
      </c>
      <c r="D651" s="1">
        <v>0.6</v>
      </c>
      <c r="E651" s="1" t="str" cm="1">
        <f t="array" ref="E651">_xlfn.IFS(
D651&lt;20,"Light",
D651&lt;50,"Medium",
D651&lt;100,"Heavy",
D651&gt;=100,"Very Heavy")</f>
        <v>Light</v>
      </c>
      <c r="F651" s="2">
        <v>22</v>
      </c>
      <c r="G651" s="2" t="str" cm="1">
        <f t="array" ref="G651">_xlfn.IFS(
F651&lt;50,"Small",
F651&lt;100,"Medium",
F651&lt;150,"Large",
F651&gt;=150,"Very Large"
)</f>
        <v>Small</v>
      </c>
      <c r="H651" s="2" t="s">
        <v>33</v>
      </c>
      <c r="I651" s="2">
        <v>49.561174000000001</v>
      </c>
      <c r="J651" s="2">
        <v>11.102216</v>
      </c>
      <c r="K651" s="2" t="str">
        <f t="shared" si="41"/>
        <v>Available</v>
      </c>
      <c r="L651" s="2" t="s">
        <v>10</v>
      </c>
      <c r="M651" s="3">
        <v>45400</v>
      </c>
      <c r="N651" s="3" t="str">
        <f t="shared" si="42"/>
        <v>April</v>
      </c>
      <c r="O651" s="2" t="s">
        <v>12</v>
      </c>
      <c r="P651" t="str">
        <f t="shared" si="43"/>
        <v>OK</v>
      </c>
    </row>
    <row r="652" spans="1:16" x14ac:dyDescent="0.3">
      <c r="A652" s="2">
        <f t="shared" si="40"/>
        <v>651</v>
      </c>
      <c r="B652" s="2" t="s">
        <v>30</v>
      </c>
      <c r="C652" s="2" t="s">
        <v>11</v>
      </c>
      <c r="D652" s="1">
        <v>0.5</v>
      </c>
      <c r="E652" s="1" t="str" cm="1">
        <f t="array" ref="E652">_xlfn.IFS(
D652&lt;20,"Light",
D652&lt;50,"Medium",
D652&lt;100,"Heavy",
D652&gt;=100,"Very Heavy")</f>
        <v>Light</v>
      </c>
      <c r="F652" s="2">
        <v>20</v>
      </c>
      <c r="G652" s="2" t="str" cm="1">
        <f t="array" ref="G652">_xlfn.IFS(
F652&lt;50,"Small",
F652&lt;100,"Medium",
F652&lt;150,"Large",
F652&gt;=150,"Very Large"
)</f>
        <v>Small</v>
      </c>
      <c r="H652" s="2" t="s">
        <v>32</v>
      </c>
      <c r="I652" s="2">
        <v>49.563085000000001</v>
      </c>
      <c r="J652" s="2">
        <v>11.101392000000001</v>
      </c>
      <c r="K652" s="2" t="str">
        <f t="shared" si="41"/>
        <v>Available</v>
      </c>
      <c r="L652" s="2" t="s">
        <v>10</v>
      </c>
      <c r="M652" s="3">
        <v>45400</v>
      </c>
      <c r="N652" s="3" t="str">
        <f t="shared" si="42"/>
        <v>April</v>
      </c>
      <c r="O652" s="2" t="s">
        <v>12</v>
      </c>
      <c r="P652" t="str">
        <f t="shared" si="43"/>
        <v>OK</v>
      </c>
    </row>
    <row r="653" spans="1:16" x14ac:dyDescent="0.3">
      <c r="A653" s="2">
        <f t="shared" si="40"/>
        <v>652</v>
      </c>
      <c r="B653" s="2" t="s">
        <v>30</v>
      </c>
      <c r="C653" s="2" t="s">
        <v>11</v>
      </c>
      <c r="D653" s="1">
        <v>0.9</v>
      </c>
      <c r="E653" s="1" t="str" cm="1">
        <f t="array" ref="E653">_xlfn.IFS(
D653&lt;20,"Light",
D653&lt;50,"Medium",
D653&lt;100,"Heavy",
D653&gt;=100,"Very Heavy")</f>
        <v>Light</v>
      </c>
      <c r="F653" s="2">
        <v>25</v>
      </c>
      <c r="G653" s="2" t="str" cm="1">
        <f t="array" ref="G653">_xlfn.IFS(
F653&lt;50,"Small",
F653&lt;100,"Medium",
F653&lt;150,"Large",
F653&gt;=150,"Very Large"
)</f>
        <v>Small</v>
      </c>
      <c r="H653" s="2" t="s">
        <v>32</v>
      </c>
      <c r="I653" s="2">
        <v>49.551318000000002</v>
      </c>
      <c r="J653" s="2">
        <v>11.085475000000001</v>
      </c>
      <c r="K653" s="2" t="str">
        <f t="shared" si="41"/>
        <v>Available</v>
      </c>
      <c r="L653" s="2" t="s">
        <v>10</v>
      </c>
      <c r="M653" s="3">
        <v>45400</v>
      </c>
      <c r="N653" s="3" t="str">
        <f t="shared" si="42"/>
        <v>April</v>
      </c>
      <c r="O653" s="2" t="s">
        <v>12</v>
      </c>
      <c r="P653" t="str">
        <f t="shared" si="43"/>
        <v>OK</v>
      </c>
    </row>
    <row r="654" spans="1:16" x14ac:dyDescent="0.3">
      <c r="A654" s="2">
        <f t="shared" si="40"/>
        <v>653</v>
      </c>
      <c r="B654" s="2" t="s">
        <v>30</v>
      </c>
      <c r="C654" s="2" t="s">
        <v>11</v>
      </c>
      <c r="D654" s="1">
        <v>0.5</v>
      </c>
      <c r="E654" s="1" t="str" cm="1">
        <f t="array" ref="E654">_xlfn.IFS(
D654&lt;20,"Light",
D654&lt;50,"Medium",
D654&lt;100,"Heavy",
D654&gt;=100,"Very Heavy")</f>
        <v>Light</v>
      </c>
      <c r="F654" s="2">
        <v>16</v>
      </c>
      <c r="G654" s="2" t="str" cm="1">
        <f t="array" ref="G654">_xlfn.IFS(
F654&lt;50,"Small",
F654&lt;100,"Medium",
F654&lt;150,"Large",
F654&gt;=150,"Very Large"
)</f>
        <v>Small</v>
      </c>
      <c r="H654" s="2" t="s">
        <v>33</v>
      </c>
      <c r="I654" s="2">
        <v>49.556237000000003</v>
      </c>
      <c r="J654" s="2">
        <v>11.088639000000001</v>
      </c>
      <c r="K654" s="2" t="str">
        <f t="shared" si="41"/>
        <v>Available</v>
      </c>
      <c r="L654" s="2" t="s">
        <v>10</v>
      </c>
      <c r="M654" s="3">
        <v>45400</v>
      </c>
      <c r="N654" s="3" t="str">
        <f t="shared" si="42"/>
        <v>April</v>
      </c>
      <c r="O654" s="2" t="s">
        <v>12</v>
      </c>
      <c r="P654" t="str">
        <f t="shared" si="43"/>
        <v>OK</v>
      </c>
    </row>
    <row r="655" spans="1:16" x14ac:dyDescent="0.3">
      <c r="A655" s="2">
        <f t="shared" si="40"/>
        <v>654</v>
      </c>
      <c r="B655" s="2" t="s">
        <v>30</v>
      </c>
      <c r="C655" s="2" t="s">
        <v>11</v>
      </c>
      <c r="D655" s="1">
        <v>0.8</v>
      </c>
      <c r="E655" s="1" t="str" cm="1">
        <f t="array" ref="E655">_xlfn.IFS(
D655&lt;20,"Light",
D655&lt;50,"Medium",
D655&lt;100,"Heavy",
D655&gt;=100,"Very Heavy")</f>
        <v>Light</v>
      </c>
      <c r="F655" s="2">
        <v>17</v>
      </c>
      <c r="G655" s="2" t="str" cm="1">
        <f t="array" ref="G655">_xlfn.IFS(
F655&lt;50,"Small",
F655&lt;100,"Medium",
F655&lt;150,"Large",
F655&gt;=150,"Very Large"
)</f>
        <v>Small</v>
      </c>
      <c r="H655" s="2" t="s">
        <v>32</v>
      </c>
      <c r="I655" s="2">
        <v>49.545768000000002</v>
      </c>
      <c r="J655" s="2">
        <v>11.086385999999999</v>
      </c>
      <c r="K655" s="2" t="str">
        <f t="shared" si="41"/>
        <v>Available</v>
      </c>
      <c r="L655" s="2" t="s">
        <v>10</v>
      </c>
      <c r="M655" s="3">
        <v>45400</v>
      </c>
      <c r="N655" s="3" t="str">
        <f t="shared" si="42"/>
        <v>April</v>
      </c>
      <c r="O655" s="2" t="s">
        <v>12</v>
      </c>
      <c r="P655" t="str">
        <f t="shared" si="43"/>
        <v>OK</v>
      </c>
    </row>
    <row r="656" spans="1:16" x14ac:dyDescent="0.3">
      <c r="A656" s="2">
        <f t="shared" si="40"/>
        <v>655</v>
      </c>
      <c r="B656" s="2" t="s">
        <v>29</v>
      </c>
      <c r="C656" s="2" t="s">
        <v>15</v>
      </c>
      <c r="D656" s="1">
        <v>0.32600000000000001</v>
      </c>
      <c r="E656" s="1" t="str" cm="1">
        <f t="array" ref="E656">_xlfn.IFS(
D656&lt;20,"Light",
D656&lt;50,"Medium",
D656&lt;100,"Heavy",
D656&gt;=100,"Very Heavy")</f>
        <v>Light</v>
      </c>
      <c r="F656" s="2">
        <v>23</v>
      </c>
      <c r="G656" s="2" t="str" cm="1">
        <f t="array" ref="G656">_xlfn.IFS(
F656&lt;50,"Small",
F656&lt;100,"Medium",
F656&lt;150,"Large",
F656&gt;=150,"Very Large"
)</f>
        <v>Small</v>
      </c>
      <c r="H656" s="2" t="s">
        <v>32</v>
      </c>
      <c r="I656" s="2">
        <v>50.107312999999998</v>
      </c>
      <c r="J656" s="2">
        <v>14.348552</v>
      </c>
      <c r="K656" s="2" t="str">
        <f t="shared" si="41"/>
        <v>Available</v>
      </c>
      <c r="L656" s="2" t="s">
        <v>10</v>
      </c>
      <c r="M656" s="3">
        <v>45400</v>
      </c>
      <c r="N656" s="3" t="str">
        <f t="shared" si="42"/>
        <v>April</v>
      </c>
      <c r="O656" s="2" t="s">
        <v>14</v>
      </c>
      <c r="P656" t="str">
        <f t="shared" si="43"/>
        <v>OK</v>
      </c>
    </row>
    <row r="657" spans="1:16" x14ac:dyDescent="0.3">
      <c r="A657" s="2">
        <f t="shared" si="40"/>
        <v>656</v>
      </c>
      <c r="B657" s="2" t="s">
        <v>27</v>
      </c>
      <c r="C657" s="2" t="s">
        <v>4</v>
      </c>
      <c r="D657" s="1">
        <v>662</v>
      </c>
      <c r="E657" s="1" t="str" cm="1">
        <f t="array" ref="E657">_xlfn.IFS(
D657&lt;20,"Light",
D657&lt;50,"Medium",
D657&lt;100,"Heavy",
D657&gt;=100,"Very Heavy")</f>
        <v>Very Heavy</v>
      </c>
      <c r="F657" s="2">
        <v>244</v>
      </c>
      <c r="G657" s="2" t="str" cm="1">
        <f t="array" ref="G657">_xlfn.IFS(
F657&lt;50,"Small",
F657&lt;100,"Medium",
F657&lt;150,"Large",
F657&gt;=150,"Very Large"
)</f>
        <v>Very Large</v>
      </c>
      <c r="H657" s="2" t="s">
        <v>33</v>
      </c>
      <c r="I657" s="2">
        <v>52.809106</v>
      </c>
      <c r="J657" s="2">
        <v>23.680095000000001</v>
      </c>
      <c r="K657" s="2" t="str">
        <f t="shared" si="41"/>
        <v>Available</v>
      </c>
      <c r="L657" s="2" t="s">
        <v>10</v>
      </c>
      <c r="M657" s="3">
        <v>45401</v>
      </c>
      <c r="N657" s="3" t="str">
        <f t="shared" si="42"/>
        <v>April</v>
      </c>
      <c r="O657" s="2" t="s">
        <v>6</v>
      </c>
      <c r="P657" t="str">
        <f t="shared" si="43"/>
        <v>OK</v>
      </c>
    </row>
    <row r="658" spans="1:16" x14ac:dyDescent="0.3">
      <c r="A658" s="2">
        <f t="shared" si="40"/>
        <v>657</v>
      </c>
      <c r="B658" s="2" t="s">
        <v>29</v>
      </c>
      <c r="C658" s="2" t="s">
        <v>4</v>
      </c>
      <c r="D658" s="1">
        <v>0.34100000000000003</v>
      </c>
      <c r="E658" s="1" t="str" cm="1">
        <f t="array" ref="E658">_xlfn.IFS(
D658&lt;20,"Light",
D658&lt;50,"Medium",
D658&lt;100,"Heavy",
D658&gt;=100,"Very Heavy")</f>
        <v>Light</v>
      </c>
      <c r="F658" s="2">
        <v>23</v>
      </c>
      <c r="G658" s="2" t="str" cm="1">
        <f t="array" ref="G658">_xlfn.IFS(
F658&lt;50,"Small",
F658&lt;100,"Medium",
F658&lt;150,"Large",
F658&gt;=150,"Very Large"
)</f>
        <v>Small</v>
      </c>
      <c r="H658" s="2" t="s">
        <v>32</v>
      </c>
      <c r="I658" s="2">
        <v>52.212041999999997</v>
      </c>
      <c r="J658" s="2">
        <v>21.033491999999999</v>
      </c>
      <c r="K658" s="2" t="str">
        <f t="shared" si="41"/>
        <v>Available</v>
      </c>
      <c r="L658" s="2" t="s">
        <v>10</v>
      </c>
      <c r="M658" s="3">
        <v>45401</v>
      </c>
      <c r="N658" s="3" t="str">
        <f t="shared" si="42"/>
        <v>April</v>
      </c>
      <c r="O658" s="2" t="s">
        <v>6</v>
      </c>
      <c r="P658" t="str">
        <f t="shared" si="43"/>
        <v>OK</v>
      </c>
    </row>
    <row r="659" spans="1:16" x14ac:dyDescent="0.3">
      <c r="A659" s="2">
        <f t="shared" si="40"/>
        <v>658</v>
      </c>
      <c r="B659" s="2" t="s">
        <v>30</v>
      </c>
      <c r="C659" s="2" t="s">
        <v>17</v>
      </c>
      <c r="D659" s="1">
        <v>0.6</v>
      </c>
      <c r="E659" s="1" t="str" cm="1">
        <f t="array" ref="E659">_xlfn.IFS(
D659&lt;20,"Light",
D659&lt;50,"Medium",
D659&lt;100,"Heavy",
D659&gt;=100,"Very Heavy")</f>
        <v>Light</v>
      </c>
      <c r="F659" s="2">
        <v>17</v>
      </c>
      <c r="G659" s="2" t="str" cm="1">
        <f t="array" ref="G659">_xlfn.IFS(
F659&lt;50,"Small",
F659&lt;100,"Medium",
F659&lt;150,"Large",
F659&gt;=150,"Very Large"
)</f>
        <v>Small</v>
      </c>
      <c r="H659" s="2" t="s">
        <v>33</v>
      </c>
      <c r="I659" s="2">
        <v>47.319578999999997</v>
      </c>
      <c r="J659" s="2">
        <v>11.186061</v>
      </c>
      <c r="K659" s="2" t="str">
        <f t="shared" si="41"/>
        <v>Available</v>
      </c>
      <c r="L659" s="2" t="s">
        <v>10</v>
      </c>
      <c r="M659" s="3">
        <v>45401</v>
      </c>
      <c r="N659" s="3" t="str">
        <f t="shared" si="42"/>
        <v>April</v>
      </c>
      <c r="O659" s="2" t="s">
        <v>12</v>
      </c>
      <c r="P659" t="str">
        <f t="shared" si="43"/>
        <v>OK</v>
      </c>
    </row>
    <row r="660" spans="1:16" x14ac:dyDescent="0.3">
      <c r="A660" s="2">
        <f t="shared" si="40"/>
        <v>659</v>
      </c>
      <c r="B660" s="2" t="s">
        <v>30</v>
      </c>
      <c r="C660" s="2" t="s">
        <v>17</v>
      </c>
      <c r="D660" s="1">
        <v>0.9</v>
      </c>
      <c r="E660" s="1" t="str" cm="1">
        <f t="array" ref="E660">_xlfn.IFS(
D660&lt;20,"Light",
D660&lt;50,"Medium",
D660&lt;100,"Heavy",
D660&gt;=100,"Very Heavy")</f>
        <v>Light</v>
      </c>
      <c r="F660" s="2">
        <v>25</v>
      </c>
      <c r="G660" s="2" t="str" cm="1">
        <f t="array" ref="G660">_xlfn.IFS(
F660&lt;50,"Small",
F660&lt;100,"Medium",
F660&lt;150,"Large",
F660&gt;=150,"Very Large"
)</f>
        <v>Small</v>
      </c>
      <c r="H660" s="2" t="s">
        <v>32</v>
      </c>
      <c r="I660" s="2">
        <v>47.317974</v>
      </c>
      <c r="J660" s="2">
        <v>11.187472</v>
      </c>
      <c r="K660" s="2" t="str">
        <f t="shared" si="41"/>
        <v>Available</v>
      </c>
      <c r="L660" s="2" t="s">
        <v>10</v>
      </c>
      <c r="M660" s="3">
        <v>45401</v>
      </c>
      <c r="N660" s="3" t="str">
        <f t="shared" si="42"/>
        <v>April</v>
      </c>
      <c r="O660" s="2" t="s">
        <v>12</v>
      </c>
      <c r="P660" t="str">
        <f t="shared" si="43"/>
        <v>OK</v>
      </c>
    </row>
    <row r="661" spans="1:16" x14ac:dyDescent="0.3">
      <c r="A661" s="2">
        <f t="shared" si="40"/>
        <v>660</v>
      </c>
      <c r="B661" s="2" t="s">
        <v>30</v>
      </c>
      <c r="C661" s="2" t="s">
        <v>17</v>
      </c>
      <c r="D661" s="1">
        <v>1.1000000000000001</v>
      </c>
      <c r="E661" s="1" t="str" cm="1">
        <f t="array" ref="E661">_xlfn.IFS(
D661&lt;20,"Light",
D661&lt;50,"Medium",
D661&lt;100,"Heavy",
D661&gt;=100,"Very Heavy")</f>
        <v>Light</v>
      </c>
      <c r="F661" s="2">
        <v>22</v>
      </c>
      <c r="G661" s="2" t="str" cm="1">
        <f t="array" ref="G661">_xlfn.IFS(
F661&lt;50,"Small",
F661&lt;100,"Medium",
F661&lt;150,"Large",
F661&gt;=150,"Very Large"
)</f>
        <v>Small</v>
      </c>
      <c r="H661" s="2" t="s">
        <v>32</v>
      </c>
      <c r="I661" s="2">
        <v>47.316561999999998</v>
      </c>
      <c r="J661" s="2">
        <v>11.19116</v>
      </c>
      <c r="K661" s="2" t="str">
        <f t="shared" si="41"/>
        <v>Available</v>
      </c>
      <c r="L661" s="2" t="s">
        <v>10</v>
      </c>
      <c r="M661" s="3">
        <v>45401</v>
      </c>
      <c r="N661" s="3" t="str">
        <f t="shared" si="42"/>
        <v>April</v>
      </c>
      <c r="O661" s="2" t="s">
        <v>12</v>
      </c>
      <c r="P661" t="str">
        <f t="shared" si="43"/>
        <v>OK</v>
      </c>
    </row>
    <row r="662" spans="1:16" x14ac:dyDescent="0.3">
      <c r="A662" s="2">
        <f t="shared" si="40"/>
        <v>661</v>
      </c>
      <c r="B662" s="2" t="s">
        <v>30</v>
      </c>
      <c r="C662" s="2" t="s">
        <v>17</v>
      </c>
      <c r="D662" s="1">
        <v>1.2</v>
      </c>
      <c r="E662" s="1" t="str" cm="1">
        <f t="array" ref="E662">_xlfn.IFS(
D662&lt;20,"Light",
D662&lt;50,"Medium",
D662&lt;100,"Heavy",
D662&gt;=100,"Very Heavy")</f>
        <v>Light</v>
      </c>
      <c r="F662" s="2">
        <v>24</v>
      </c>
      <c r="G662" s="2" t="str" cm="1">
        <f t="array" ref="G662">_xlfn.IFS(
F662&lt;50,"Small",
F662&lt;100,"Medium",
F662&lt;150,"Large",
F662&gt;=150,"Very Large"
)</f>
        <v>Small</v>
      </c>
      <c r="H662" s="2" t="s">
        <v>32</v>
      </c>
      <c r="I662" s="2">
        <v>47.318190999999999</v>
      </c>
      <c r="J662" s="2">
        <v>11.189484</v>
      </c>
      <c r="K662" s="2" t="str">
        <f t="shared" si="41"/>
        <v>Available</v>
      </c>
      <c r="L662" s="2" t="s">
        <v>10</v>
      </c>
      <c r="M662" s="3">
        <v>45401</v>
      </c>
      <c r="N662" s="3" t="str">
        <f t="shared" si="42"/>
        <v>April</v>
      </c>
      <c r="O662" s="2" t="s">
        <v>12</v>
      </c>
      <c r="P662" t="str">
        <f t="shared" si="43"/>
        <v>OK</v>
      </c>
    </row>
    <row r="663" spans="1:16" x14ac:dyDescent="0.3">
      <c r="A663" s="2">
        <f t="shared" si="40"/>
        <v>662</v>
      </c>
      <c r="B663" s="2" t="s">
        <v>27</v>
      </c>
      <c r="C663" s="2" t="s">
        <v>15</v>
      </c>
      <c r="D663" s="1">
        <v>656</v>
      </c>
      <c r="E663" s="1" t="str" cm="1">
        <f t="array" ref="E663">_xlfn.IFS(
D663&lt;20,"Light",
D663&lt;50,"Medium",
D663&lt;100,"Heavy",
D663&gt;=100,"Very Heavy")</f>
        <v>Very Heavy</v>
      </c>
      <c r="F663" s="2">
        <v>245</v>
      </c>
      <c r="G663" s="2" t="str" cm="1">
        <f t="array" ref="G663">_xlfn.IFS(
F663&lt;50,"Small",
F663&lt;100,"Medium",
F663&lt;150,"Large",
F663&gt;=150,"Very Large"
)</f>
        <v>Very Large</v>
      </c>
      <c r="H663" s="2" t="s">
        <v>33</v>
      </c>
      <c r="I663" s="2">
        <v>50.643056000000001</v>
      </c>
      <c r="J663" s="2">
        <v>14.843037000000001</v>
      </c>
      <c r="K663" s="2" t="str">
        <f t="shared" si="41"/>
        <v>Available</v>
      </c>
      <c r="L663" s="2" t="s">
        <v>10</v>
      </c>
      <c r="M663" s="3">
        <v>45401</v>
      </c>
      <c r="N663" s="3" t="str">
        <f t="shared" si="42"/>
        <v>April</v>
      </c>
      <c r="O663" s="2" t="s">
        <v>14</v>
      </c>
      <c r="P663" t="str">
        <f t="shared" si="43"/>
        <v>OK</v>
      </c>
    </row>
    <row r="664" spans="1:16" x14ac:dyDescent="0.3">
      <c r="A664" s="2">
        <f t="shared" si="40"/>
        <v>663</v>
      </c>
      <c r="B664" s="2" t="s">
        <v>30</v>
      </c>
      <c r="C664" s="2" t="s">
        <v>13</v>
      </c>
      <c r="D664" s="1">
        <v>1.1000000000000001</v>
      </c>
      <c r="E664" s="1" t="str" cm="1">
        <f t="array" ref="E664">_xlfn.IFS(
D664&lt;20,"Light",
D664&lt;50,"Medium",
D664&lt;100,"Heavy",
D664&gt;=100,"Very Heavy")</f>
        <v>Light</v>
      </c>
      <c r="F664" s="2">
        <v>19</v>
      </c>
      <c r="G664" s="2" t="str" cm="1">
        <f t="array" ref="G664">_xlfn.IFS(
F664&lt;50,"Small",
F664&lt;100,"Medium",
F664&lt;150,"Large",
F664&gt;=150,"Very Large"
)</f>
        <v>Small</v>
      </c>
      <c r="H664" s="2" t="s">
        <v>33</v>
      </c>
      <c r="I664" s="2">
        <v>48.187522000000001</v>
      </c>
      <c r="J664" s="2">
        <v>17.087250999999998</v>
      </c>
      <c r="K664" s="2" t="str">
        <f t="shared" si="41"/>
        <v>Available</v>
      </c>
      <c r="L664" s="2" t="s">
        <v>10</v>
      </c>
      <c r="M664" s="3">
        <v>45401</v>
      </c>
      <c r="N664" s="3" t="str">
        <f t="shared" si="42"/>
        <v>April</v>
      </c>
      <c r="O664" s="2" t="s">
        <v>14</v>
      </c>
      <c r="P664" t="str">
        <f t="shared" si="43"/>
        <v>OK</v>
      </c>
    </row>
    <row r="665" spans="1:16" x14ac:dyDescent="0.3">
      <c r="A665" s="2">
        <f t="shared" si="40"/>
        <v>664</v>
      </c>
      <c r="B665" s="2" t="s">
        <v>30</v>
      </c>
      <c r="C665" s="2" t="s">
        <v>13</v>
      </c>
      <c r="D665" s="1">
        <v>1.1000000000000001</v>
      </c>
      <c r="E665" s="1" t="str" cm="1">
        <f t="array" ref="E665">_xlfn.IFS(
D665&lt;20,"Light",
D665&lt;50,"Medium",
D665&lt;100,"Heavy",
D665&gt;=100,"Very Heavy")</f>
        <v>Light</v>
      </c>
      <c r="F665" s="2">
        <v>29</v>
      </c>
      <c r="G665" s="2" t="str" cm="1">
        <f t="array" ref="G665">_xlfn.IFS(
F665&lt;50,"Small",
F665&lt;100,"Medium",
F665&lt;150,"Large",
F665&gt;=150,"Very Large"
)</f>
        <v>Small</v>
      </c>
      <c r="H665" s="2" t="s">
        <v>32</v>
      </c>
      <c r="I665" s="2">
        <v>48.185406</v>
      </c>
      <c r="J665" s="2">
        <v>17.084534999999999</v>
      </c>
      <c r="K665" s="2" t="str">
        <f t="shared" si="41"/>
        <v>Available</v>
      </c>
      <c r="L665" s="2" t="s">
        <v>10</v>
      </c>
      <c r="M665" s="3">
        <v>45401</v>
      </c>
      <c r="N665" s="3" t="str">
        <f t="shared" si="42"/>
        <v>April</v>
      </c>
      <c r="O665" s="2" t="s">
        <v>14</v>
      </c>
      <c r="P665" t="str">
        <f t="shared" si="43"/>
        <v>OK</v>
      </c>
    </row>
    <row r="666" spans="1:16" x14ac:dyDescent="0.3">
      <c r="A666" s="2">
        <f t="shared" si="40"/>
        <v>665</v>
      </c>
      <c r="B666" s="2" t="s">
        <v>28</v>
      </c>
      <c r="C666" s="2" t="s">
        <v>15</v>
      </c>
      <c r="D666" s="1">
        <v>12</v>
      </c>
      <c r="E666" s="1" t="str" cm="1">
        <f t="array" ref="E666">_xlfn.IFS(
D666&lt;20,"Light",
D666&lt;50,"Medium",
D666&lt;100,"Heavy",
D666&gt;=100,"Very Heavy")</f>
        <v>Light</v>
      </c>
      <c r="F666" s="2">
        <v>52</v>
      </c>
      <c r="G666" s="2" t="str" cm="1">
        <f t="array" ref="G666">_xlfn.IFS(
F666&lt;50,"Small",
F666&lt;100,"Medium",
F666&lt;150,"Large",
F666&gt;=150,"Very Large"
)</f>
        <v>Medium</v>
      </c>
      <c r="H666" s="2" t="s">
        <v>32</v>
      </c>
      <c r="I666" s="2">
        <v>50.882931999999997</v>
      </c>
      <c r="J666" s="2">
        <v>14.367993</v>
      </c>
      <c r="K666" s="2" t="str">
        <f t="shared" si="41"/>
        <v>Available</v>
      </c>
      <c r="L666" s="2" t="s">
        <v>10</v>
      </c>
      <c r="M666" s="3">
        <v>45401</v>
      </c>
      <c r="N666" s="3" t="str">
        <f t="shared" si="42"/>
        <v>April</v>
      </c>
      <c r="O666" s="2" t="s">
        <v>14</v>
      </c>
      <c r="P666" t="str">
        <f t="shared" si="43"/>
        <v>OK</v>
      </c>
    </row>
    <row r="667" spans="1:16" x14ac:dyDescent="0.3">
      <c r="A667" s="2">
        <f t="shared" si="40"/>
        <v>666</v>
      </c>
      <c r="B667" s="2" t="s">
        <v>28</v>
      </c>
      <c r="C667" s="2" t="s">
        <v>13</v>
      </c>
      <c r="D667" s="1">
        <v>24</v>
      </c>
      <c r="E667" s="1" t="str" cm="1">
        <f t="array" ref="E667">_xlfn.IFS(
D667&lt;20,"Light",
D667&lt;50,"Medium",
D667&lt;100,"Heavy",
D667&gt;=100,"Very Heavy")</f>
        <v>Medium</v>
      </c>
      <c r="F667" s="2">
        <v>81</v>
      </c>
      <c r="G667" s="2" t="str" cm="1">
        <f t="array" ref="G667">_xlfn.IFS(
F667&lt;50,"Small",
F667&lt;100,"Medium",
F667&lt;150,"Large",
F667&gt;=150,"Very Large"
)</f>
        <v>Medium</v>
      </c>
      <c r="H667" s="2" t="s">
        <v>33</v>
      </c>
      <c r="I667" s="2">
        <v>48.408549000000001</v>
      </c>
      <c r="J667" s="2">
        <v>18.87396</v>
      </c>
      <c r="K667" s="2" t="str">
        <f t="shared" si="41"/>
        <v>Available</v>
      </c>
      <c r="L667" s="2" t="s">
        <v>10</v>
      </c>
      <c r="M667" s="3">
        <v>45401</v>
      </c>
      <c r="N667" s="3" t="str">
        <f t="shared" si="42"/>
        <v>April</v>
      </c>
      <c r="O667" s="2" t="s">
        <v>14</v>
      </c>
      <c r="P667" t="str">
        <f t="shared" si="43"/>
        <v>OK</v>
      </c>
    </row>
    <row r="668" spans="1:16" x14ac:dyDescent="0.3">
      <c r="A668" s="2">
        <f t="shared" si="40"/>
        <v>667</v>
      </c>
      <c r="B668" s="2" t="s">
        <v>28</v>
      </c>
      <c r="C668" s="2" t="s">
        <v>15</v>
      </c>
      <c r="D668" s="1">
        <v>22</v>
      </c>
      <c r="E668" s="1" t="str" cm="1">
        <f t="array" ref="E668">_xlfn.IFS(
D668&lt;20,"Light",
D668&lt;50,"Medium",
D668&lt;100,"Heavy",
D668&gt;=100,"Very Heavy")</f>
        <v>Medium</v>
      </c>
      <c r="F668" s="2">
        <v>83</v>
      </c>
      <c r="G668" s="2" t="str" cm="1">
        <f t="array" ref="G668">_xlfn.IFS(
F668&lt;50,"Small",
F668&lt;100,"Medium",
F668&lt;150,"Large",
F668&gt;=150,"Very Large"
)</f>
        <v>Medium</v>
      </c>
      <c r="H668" s="2" t="s">
        <v>33</v>
      </c>
      <c r="I668" s="2">
        <v>50.882924000000003</v>
      </c>
      <c r="J668" s="2">
        <v>14.368207</v>
      </c>
      <c r="K668" s="2" t="str">
        <f t="shared" si="41"/>
        <v>Available</v>
      </c>
      <c r="L668" s="2" t="s">
        <v>10</v>
      </c>
      <c r="M668" s="3">
        <v>45401</v>
      </c>
      <c r="N668" s="3" t="str">
        <f t="shared" si="42"/>
        <v>April</v>
      </c>
      <c r="O668" s="2" t="s">
        <v>14</v>
      </c>
      <c r="P668" t="str">
        <f t="shared" si="43"/>
        <v>OK</v>
      </c>
    </row>
    <row r="669" spans="1:16" x14ac:dyDescent="0.3">
      <c r="A669" s="2">
        <f t="shared" si="40"/>
        <v>668</v>
      </c>
      <c r="B669" s="2" t="s">
        <v>29</v>
      </c>
      <c r="C669" s="2" t="s">
        <v>4</v>
      </c>
      <c r="D669" s="1">
        <v>0.32700000000000001</v>
      </c>
      <c r="E669" s="1" t="str" cm="1">
        <f t="array" ref="E669">_xlfn.IFS(
D669&lt;20,"Light",
D669&lt;50,"Medium",
D669&lt;100,"Heavy",
D669&gt;=100,"Very Heavy")</f>
        <v>Light</v>
      </c>
      <c r="F669" s="2">
        <v>23</v>
      </c>
      <c r="G669" s="2" t="str" cm="1">
        <f t="array" ref="G669">_xlfn.IFS(
F669&lt;50,"Small",
F669&lt;100,"Medium",
F669&lt;150,"Large",
F669&gt;=150,"Very Large"
)</f>
        <v>Small</v>
      </c>
      <c r="H669" s="2" t="s">
        <v>32</v>
      </c>
      <c r="I669" s="2">
        <v>52.212167999999998</v>
      </c>
      <c r="J669" s="2">
        <v>21.032304</v>
      </c>
      <c r="K669" s="2" t="str">
        <f t="shared" si="41"/>
        <v>Available</v>
      </c>
      <c r="L669" s="2" t="s">
        <v>10</v>
      </c>
      <c r="M669" s="3">
        <v>45402</v>
      </c>
      <c r="N669" s="3" t="str">
        <f t="shared" si="42"/>
        <v>April</v>
      </c>
      <c r="O669" s="2" t="s">
        <v>6</v>
      </c>
      <c r="P669" t="str">
        <f t="shared" si="43"/>
        <v>OK</v>
      </c>
    </row>
    <row r="670" spans="1:16" x14ac:dyDescent="0.3">
      <c r="A670" s="2">
        <f t="shared" si="40"/>
        <v>669</v>
      </c>
      <c r="B670" s="2" t="s">
        <v>29</v>
      </c>
      <c r="C670" s="2" t="s">
        <v>4</v>
      </c>
      <c r="D670" s="1">
        <v>0.33700000000000002</v>
      </c>
      <c r="E670" s="1" t="str" cm="1">
        <f t="array" ref="E670">_xlfn.IFS(
D670&lt;20,"Light",
D670&lt;50,"Medium",
D670&lt;100,"Heavy",
D670&gt;=100,"Very Heavy")</f>
        <v>Light</v>
      </c>
      <c r="F670" s="2">
        <v>24</v>
      </c>
      <c r="G670" s="2" t="str" cm="1">
        <f t="array" ref="G670">_xlfn.IFS(
F670&lt;50,"Small",
F670&lt;100,"Medium",
F670&lt;150,"Large",
F670&gt;=150,"Very Large"
)</f>
        <v>Small</v>
      </c>
      <c r="H670" s="2" t="s">
        <v>33</v>
      </c>
      <c r="I670" s="2">
        <v>52.211796999999997</v>
      </c>
      <c r="J670" s="2">
        <v>21.033750000000001</v>
      </c>
      <c r="K670" s="2" t="str">
        <f t="shared" si="41"/>
        <v>Available</v>
      </c>
      <c r="L670" s="2" t="s">
        <v>8</v>
      </c>
      <c r="M670" s="3">
        <v>45402</v>
      </c>
      <c r="N670" s="3" t="str">
        <f t="shared" si="42"/>
        <v>April</v>
      </c>
      <c r="O670" s="2" t="s">
        <v>6</v>
      </c>
      <c r="P670" t="str">
        <f t="shared" si="43"/>
        <v>OK</v>
      </c>
    </row>
    <row r="671" spans="1:16" x14ac:dyDescent="0.3">
      <c r="A671" s="2">
        <f t="shared" si="40"/>
        <v>670</v>
      </c>
      <c r="B671" s="2" t="s">
        <v>29</v>
      </c>
      <c r="C671" s="2" t="s">
        <v>4</v>
      </c>
      <c r="D671" s="1">
        <v>0.318</v>
      </c>
      <c r="E671" s="1" t="str" cm="1">
        <f t="array" ref="E671">_xlfn.IFS(
D671&lt;20,"Light",
D671&lt;50,"Medium",
D671&lt;100,"Heavy",
D671&gt;=100,"Very Heavy")</f>
        <v>Light</v>
      </c>
      <c r="F671" s="2">
        <v>24</v>
      </c>
      <c r="G671" s="2" t="str" cm="1">
        <f t="array" ref="G671">_xlfn.IFS(
F671&lt;50,"Small",
F671&lt;100,"Medium",
F671&lt;150,"Large",
F671&gt;=150,"Very Large"
)</f>
        <v>Small</v>
      </c>
      <c r="H671" s="2" t="s">
        <v>32</v>
      </c>
      <c r="I671" s="2">
        <v>52.212470000000003</v>
      </c>
      <c r="J671" s="2">
        <v>21.033642</v>
      </c>
      <c r="K671" s="2" t="str">
        <f t="shared" si="41"/>
        <v>Available</v>
      </c>
      <c r="L671" s="2" t="s">
        <v>10</v>
      </c>
      <c r="M671" s="3">
        <v>45402</v>
      </c>
      <c r="N671" s="3" t="str">
        <f t="shared" si="42"/>
        <v>April</v>
      </c>
      <c r="O671" s="2" t="s">
        <v>6</v>
      </c>
      <c r="P671" t="str">
        <f t="shared" si="43"/>
        <v>OK</v>
      </c>
    </row>
    <row r="672" spans="1:16" x14ac:dyDescent="0.3">
      <c r="A672" s="2">
        <f t="shared" si="40"/>
        <v>671</v>
      </c>
      <c r="B672" s="2" t="s">
        <v>29</v>
      </c>
      <c r="C672" s="2" t="s">
        <v>4</v>
      </c>
      <c r="D672" s="1">
        <v>0.33</v>
      </c>
      <c r="E672" s="1" t="str" cm="1">
        <f t="array" ref="E672">_xlfn.IFS(
D672&lt;20,"Light",
D672&lt;50,"Medium",
D672&lt;100,"Heavy",
D672&gt;=100,"Very Heavy")</f>
        <v>Light</v>
      </c>
      <c r="F672" s="2">
        <v>23</v>
      </c>
      <c r="G672" s="2" t="str" cm="1">
        <f t="array" ref="G672">_xlfn.IFS(
F672&lt;50,"Small",
F672&lt;100,"Medium",
F672&lt;150,"Large",
F672&gt;=150,"Very Large"
)</f>
        <v>Small</v>
      </c>
      <c r="H672" s="2" t="s">
        <v>32</v>
      </c>
      <c r="I672" s="2">
        <v>52.211872</v>
      </c>
      <c r="J672" s="2">
        <v>21.032295999999999</v>
      </c>
      <c r="K672" s="2" t="str">
        <f t="shared" si="41"/>
        <v>Available</v>
      </c>
      <c r="L672" s="2" t="s">
        <v>22</v>
      </c>
      <c r="M672" s="3">
        <v>45402</v>
      </c>
      <c r="N672" s="3" t="str">
        <f t="shared" si="42"/>
        <v>April</v>
      </c>
      <c r="O672" s="2" t="s">
        <v>6</v>
      </c>
      <c r="P672" t="str">
        <f t="shared" si="43"/>
        <v>OK</v>
      </c>
    </row>
    <row r="673" spans="1:16" x14ac:dyDescent="0.3">
      <c r="A673" s="2">
        <f t="shared" si="40"/>
        <v>672</v>
      </c>
      <c r="B673" s="2" t="s">
        <v>27</v>
      </c>
      <c r="C673" s="2" t="s">
        <v>4</v>
      </c>
      <c r="D673" s="1">
        <v>776</v>
      </c>
      <c r="E673" s="1" t="str" cm="1">
        <f t="array" ref="E673">_xlfn.IFS(
D673&lt;20,"Light",
D673&lt;50,"Medium",
D673&lt;100,"Heavy",
D673&gt;=100,"Very Heavy")</f>
        <v>Very Heavy</v>
      </c>
      <c r="F673" s="2">
        <v>294</v>
      </c>
      <c r="G673" s="2" t="str" cm="1">
        <f t="array" ref="G673">_xlfn.IFS(
F673&lt;50,"Small",
F673&lt;100,"Medium",
F673&lt;150,"Large",
F673&gt;=150,"Very Large"
)</f>
        <v>Very Large</v>
      </c>
      <c r="H673" s="2" t="s">
        <v>32</v>
      </c>
      <c r="I673" s="2">
        <v>52.805298999999998</v>
      </c>
      <c r="J673" s="2">
        <v>23.701093</v>
      </c>
      <c r="K673" s="2" t="str">
        <f t="shared" si="41"/>
        <v>Available</v>
      </c>
      <c r="L673" s="2" t="s">
        <v>10</v>
      </c>
      <c r="M673" s="3">
        <v>45403</v>
      </c>
      <c r="N673" s="3" t="str">
        <f t="shared" si="42"/>
        <v>April</v>
      </c>
      <c r="O673" s="2" t="s">
        <v>6</v>
      </c>
      <c r="P673" t="str">
        <f t="shared" si="43"/>
        <v>OK</v>
      </c>
    </row>
    <row r="674" spans="1:16" x14ac:dyDescent="0.3">
      <c r="A674" s="2">
        <f t="shared" si="40"/>
        <v>673</v>
      </c>
      <c r="B674" s="2" t="s">
        <v>30</v>
      </c>
      <c r="C674" s="2" t="s">
        <v>13</v>
      </c>
      <c r="D674" s="1">
        <v>0.8</v>
      </c>
      <c r="E674" s="1" t="str" cm="1">
        <f t="array" ref="E674">_xlfn.IFS(
D674&lt;20,"Light",
D674&lt;50,"Medium",
D674&lt;100,"Heavy",
D674&gt;=100,"Very Heavy")</f>
        <v>Light</v>
      </c>
      <c r="F674" s="2">
        <v>18</v>
      </c>
      <c r="G674" s="2" t="str" cm="1">
        <f t="array" ref="G674">_xlfn.IFS(
F674&lt;50,"Small",
F674&lt;100,"Medium",
F674&lt;150,"Large",
F674&gt;=150,"Very Large"
)</f>
        <v>Small</v>
      </c>
      <c r="H674" s="2" t="s">
        <v>32</v>
      </c>
      <c r="I674" s="2">
        <v>48.186208000000001</v>
      </c>
      <c r="J674" s="2">
        <v>17.089749000000001</v>
      </c>
      <c r="K674" s="2" t="str">
        <f t="shared" si="41"/>
        <v>Available</v>
      </c>
      <c r="L674" s="2" t="s">
        <v>10</v>
      </c>
      <c r="M674" s="3">
        <v>45403</v>
      </c>
      <c r="N674" s="3" t="str">
        <f t="shared" si="42"/>
        <v>April</v>
      </c>
      <c r="O674" s="2" t="s">
        <v>14</v>
      </c>
      <c r="P674" t="str">
        <f t="shared" si="43"/>
        <v>OK</v>
      </c>
    </row>
    <row r="675" spans="1:16" x14ac:dyDescent="0.3">
      <c r="A675" s="2">
        <f t="shared" si="40"/>
        <v>674</v>
      </c>
      <c r="B675" s="2" t="s">
        <v>29</v>
      </c>
      <c r="C675" s="2" t="s">
        <v>4</v>
      </c>
      <c r="D675" s="1">
        <v>0.30599999999999999</v>
      </c>
      <c r="E675" s="1" t="str" cm="1">
        <f t="array" ref="E675">_xlfn.IFS(
D675&lt;20,"Light",
D675&lt;50,"Medium",
D675&lt;100,"Heavy",
D675&gt;=100,"Very Heavy")</f>
        <v>Light</v>
      </c>
      <c r="F675" s="2">
        <v>19</v>
      </c>
      <c r="G675" s="2" t="str" cm="1">
        <f t="array" ref="G675">_xlfn.IFS(
F675&lt;50,"Small",
F675&lt;100,"Medium",
F675&lt;150,"Large",
F675&gt;=150,"Very Large"
)</f>
        <v>Small</v>
      </c>
      <c r="H675" s="2" t="s">
        <v>33</v>
      </c>
      <c r="I675" s="2">
        <v>52.212605000000003</v>
      </c>
      <c r="J675" s="2">
        <v>21.033877</v>
      </c>
      <c r="K675" s="2" t="str">
        <f t="shared" si="41"/>
        <v>Available</v>
      </c>
      <c r="L675" s="2" t="s">
        <v>10</v>
      </c>
      <c r="M675" s="3">
        <v>45404</v>
      </c>
      <c r="N675" s="3" t="str">
        <f t="shared" si="42"/>
        <v>April</v>
      </c>
      <c r="O675" s="2" t="s">
        <v>6</v>
      </c>
      <c r="P675" t="str">
        <f t="shared" si="43"/>
        <v>OK</v>
      </c>
    </row>
    <row r="676" spans="1:16" x14ac:dyDescent="0.3">
      <c r="A676" s="2">
        <f t="shared" si="40"/>
        <v>675</v>
      </c>
      <c r="B676" s="2" t="s">
        <v>29</v>
      </c>
      <c r="C676" s="2" t="s">
        <v>4</v>
      </c>
      <c r="D676" s="1">
        <v>0.34899999999999998</v>
      </c>
      <c r="E676" s="1" t="str" cm="1">
        <f t="array" ref="E676">_xlfn.IFS(
D676&lt;20,"Light",
D676&lt;50,"Medium",
D676&lt;100,"Heavy",
D676&gt;=100,"Very Heavy")</f>
        <v>Light</v>
      </c>
      <c r="F676" s="2">
        <v>20</v>
      </c>
      <c r="G676" s="2" t="str" cm="1">
        <f t="array" ref="G676">_xlfn.IFS(
F676&lt;50,"Small",
F676&lt;100,"Medium",
F676&lt;150,"Large",
F676&gt;=150,"Very Large"
)</f>
        <v>Small</v>
      </c>
      <c r="H676" s="2" t="s">
        <v>33</v>
      </c>
      <c r="I676" s="2">
        <v>52.212001000000001</v>
      </c>
      <c r="J676" s="2">
        <v>21.033902999999999</v>
      </c>
      <c r="K676" s="2" t="str">
        <f t="shared" si="41"/>
        <v>Available</v>
      </c>
      <c r="L676" s="2" t="s">
        <v>10</v>
      </c>
      <c r="M676" s="3">
        <v>45404</v>
      </c>
      <c r="N676" s="3" t="str">
        <f t="shared" si="42"/>
        <v>April</v>
      </c>
      <c r="O676" s="2" t="s">
        <v>6</v>
      </c>
      <c r="P676" t="str">
        <f t="shared" si="43"/>
        <v>OK</v>
      </c>
    </row>
    <row r="677" spans="1:16" x14ac:dyDescent="0.3">
      <c r="A677" s="2">
        <f t="shared" si="40"/>
        <v>676</v>
      </c>
      <c r="B677" s="2" t="s">
        <v>28</v>
      </c>
      <c r="C677" s="2" t="s">
        <v>15</v>
      </c>
      <c r="D677" s="1">
        <v>23</v>
      </c>
      <c r="E677" s="1" t="str" cm="1">
        <f t="array" ref="E677">_xlfn.IFS(
D677&lt;20,"Light",
D677&lt;50,"Medium",
D677&lt;100,"Heavy",
D677&gt;=100,"Very Heavy")</f>
        <v>Medium</v>
      </c>
      <c r="F677" s="2">
        <v>78</v>
      </c>
      <c r="G677" s="2" t="str" cm="1">
        <f t="array" ref="G677">_xlfn.IFS(
F677&lt;50,"Small",
F677&lt;100,"Medium",
F677&lt;150,"Large",
F677&gt;=150,"Very Large"
)</f>
        <v>Medium</v>
      </c>
      <c r="H677" s="2" t="s">
        <v>32</v>
      </c>
      <c r="I677" s="2">
        <v>50.882931999999997</v>
      </c>
      <c r="J677" s="2">
        <v>14.366823999999999</v>
      </c>
      <c r="K677" s="2" t="str">
        <f t="shared" si="41"/>
        <v>Available</v>
      </c>
      <c r="L677" s="2" t="s">
        <v>10</v>
      </c>
      <c r="M677" s="3">
        <v>45404</v>
      </c>
      <c r="N677" s="3" t="str">
        <f t="shared" si="42"/>
        <v>April</v>
      </c>
      <c r="O677" s="2" t="s">
        <v>14</v>
      </c>
      <c r="P677" t="str">
        <f t="shared" si="43"/>
        <v>OK</v>
      </c>
    </row>
    <row r="678" spans="1:16" x14ac:dyDescent="0.3">
      <c r="A678" s="2">
        <f t="shared" si="40"/>
        <v>677</v>
      </c>
      <c r="B678" s="2" t="s">
        <v>30</v>
      </c>
      <c r="C678" s="2" t="s">
        <v>13</v>
      </c>
      <c r="D678" s="1">
        <v>0.7</v>
      </c>
      <c r="E678" s="1" t="str" cm="1">
        <f t="array" ref="E678">_xlfn.IFS(
D678&lt;20,"Light",
D678&lt;50,"Medium",
D678&lt;100,"Heavy",
D678&gt;=100,"Very Heavy")</f>
        <v>Light</v>
      </c>
      <c r="F678" s="2">
        <v>16</v>
      </c>
      <c r="G678" s="2" t="str" cm="1">
        <f t="array" ref="G678">_xlfn.IFS(
F678&lt;50,"Small",
F678&lt;100,"Medium",
F678&lt;150,"Large",
F678&gt;=150,"Very Large"
)</f>
        <v>Small</v>
      </c>
      <c r="H678" s="2" t="s">
        <v>32</v>
      </c>
      <c r="I678" s="2">
        <v>48.184230999999997</v>
      </c>
      <c r="J678" s="2">
        <v>17.091694</v>
      </c>
      <c r="K678" s="2" t="str">
        <f t="shared" si="41"/>
        <v>Available</v>
      </c>
      <c r="L678" s="2" t="s">
        <v>10</v>
      </c>
      <c r="M678" s="3">
        <v>45405</v>
      </c>
      <c r="N678" s="3" t="str">
        <f t="shared" si="42"/>
        <v>April</v>
      </c>
      <c r="O678" s="2" t="s">
        <v>14</v>
      </c>
      <c r="P678" t="str">
        <f t="shared" si="43"/>
        <v>OK</v>
      </c>
    </row>
    <row r="679" spans="1:16" x14ac:dyDescent="0.3">
      <c r="A679" s="2">
        <f t="shared" si="40"/>
        <v>678</v>
      </c>
      <c r="B679" s="2" t="s">
        <v>27</v>
      </c>
      <c r="C679" s="2" t="s">
        <v>4</v>
      </c>
      <c r="D679" s="1">
        <v>650</v>
      </c>
      <c r="E679" s="1" t="str" cm="1">
        <f t="array" ref="E679">_xlfn.IFS(
D679&lt;20,"Light",
D679&lt;50,"Medium",
D679&lt;100,"Heavy",
D679&gt;=100,"Very Heavy")</f>
        <v>Very Heavy</v>
      </c>
      <c r="F679" s="2">
        <v>286</v>
      </c>
      <c r="G679" s="2" t="str" cm="1">
        <f t="array" ref="G679">_xlfn.IFS(
F679&lt;50,"Small",
F679&lt;100,"Medium",
F679&lt;150,"Large",
F679&gt;=150,"Very Large"
)</f>
        <v>Very Large</v>
      </c>
      <c r="H679" s="2" t="s">
        <v>33</v>
      </c>
      <c r="I679" s="2">
        <v>52.812486</v>
      </c>
      <c r="J679" s="2">
        <v>23.686230999999999</v>
      </c>
      <c r="K679" s="2" t="str">
        <f t="shared" si="41"/>
        <v>Available</v>
      </c>
      <c r="L679" s="2" t="s">
        <v>10</v>
      </c>
      <c r="M679" s="3">
        <v>45406</v>
      </c>
      <c r="N679" s="3" t="str">
        <f t="shared" si="42"/>
        <v>April</v>
      </c>
      <c r="O679" s="2" t="s">
        <v>6</v>
      </c>
      <c r="P679" t="str">
        <f t="shared" si="43"/>
        <v>OK</v>
      </c>
    </row>
    <row r="680" spans="1:16" x14ac:dyDescent="0.3">
      <c r="A680" s="2">
        <f t="shared" si="40"/>
        <v>679</v>
      </c>
      <c r="B680" s="2" t="s">
        <v>29</v>
      </c>
      <c r="C680" s="2" t="s">
        <v>4</v>
      </c>
      <c r="D680" s="1">
        <v>0.27100000000000002</v>
      </c>
      <c r="E680" s="1" t="str" cm="1">
        <f t="array" ref="E680">_xlfn.IFS(
D680&lt;20,"Light",
D680&lt;50,"Medium",
D680&lt;100,"Heavy",
D680&gt;=100,"Very Heavy")</f>
        <v>Light</v>
      </c>
      <c r="F680" s="2">
        <v>19</v>
      </c>
      <c r="G680" s="2" t="str" cm="1">
        <f t="array" ref="G680">_xlfn.IFS(
F680&lt;50,"Small",
F680&lt;100,"Medium",
F680&lt;150,"Large",
F680&gt;=150,"Very Large"
)</f>
        <v>Small</v>
      </c>
      <c r="H680" s="2" t="s">
        <v>33</v>
      </c>
      <c r="I680" s="2">
        <v>52.211796999999997</v>
      </c>
      <c r="J680" s="2">
        <v>21.032857</v>
      </c>
      <c r="K680" s="2" t="str">
        <f t="shared" si="41"/>
        <v>Available</v>
      </c>
      <c r="L680" s="2" t="s">
        <v>10</v>
      </c>
      <c r="M680" s="3">
        <v>45406</v>
      </c>
      <c r="N680" s="3" t="str">
        <f t="shared" si="42"/>
        <v>April</v>
      </c>
      <c r="O680" s="2" t="s">
        <v>6</v>
      </c>
      <c r="P680" t="str">
        <f t="shared" si="43"/>
        <v>OK</v>
      </c>
    </row>
    <row r="681" spans="1:16" x14ac:dyDescent="0.3">
      <c r="A681" s="2">
        <f t="shared" si="40"/>
        <v>680</v>
      </c>
      <c r="B681" s="2" t="s">
        <v>29</v>
      </c>
      <c r="C681" s="2" t="s">
        <v>4</v>
      </c>
      <c r="D681" s="1">
        <v>0.32900000000000001</v>
      </c>
      <c r="E681" s="1" t="str" cm="1">
        <f t="array" ref="E681">_xlfn.IFS(
D681&lt;20,"Light",
D681&lt;50,"Medium",
D681&lt;100,"Heavy",
D681&gt;=100,"Very Heavy")</f>
        <v>Light</v>
      </c>
      <c r="F681" s="2">
        <v>24</v>
      </c>
      <c r="G681" s="2" t="str" cm="1">
        <f t="array" ref="G681">_xlfn.IFS(
F681&lt;50,"Small",
F681&lt;100,"Medium",
F681&lt;150,"Large",
F681&gt;=150,"Very Large"
)</f>
        <v>Small</v>
      </c>
      <c r="H681" s="2" t="s">
        <v>33</v>
      </c>
      <c r="I681" s="2">
        <v>52.212045000000003</v>
      </c>
      <c r="J681" s="2">
        <v>21.031986</v>
      </c>
      <c r="K681" s="2" t="str">
        <f t="shared" si="41"/>
        <v>Available</v>
      </c>
      <c r="L681" s="2" t="s">
        <v>10</v>
      </c>
      <c r="M681" s="3">
        <v>45406</v>
      </c>
      <c r="N681" s="3" t="str">
        <f t="shared" si="42"/>
        <v>April</v>
      </c>
      <c r="O681" s="2" t="s">
        <v>6</v>
      </c>
      <c r="P681" t="str">
        <f t="shared" si="43"/>
        <v>OK</v>
      </c>
    </row>
    <row r="682" spans="1:16" x14ac:dyDescent="0.3">
      <c r="A682" s="2">
        <f t="shared" si="40"/>
        <v>681</v>
      </c>
      <c r="B682" s="2" t="s">
        <v>28</v>
      </c>
      <c r="C682" s="2" t="s">
        <v>17</v>
      </c>
      <c r="D682" s="1">
        <v>20</v>
      </c>
      <c r="E682" s="1" t="str" cm="1">
        <f t="array" ref="E682">_xlfn.IFS(
D682&lt;20,"Light",
D682&lt;50,"Medium",
D682&lt;100,"Heavy",
D682&gt;=100,"Very Heavy")</f>
        <v>Medium</v>
      </c>
      <c r="F682" s="2">
        <v>90</v>
      </c>
      <c r="G682" s="2" t="str" cm="1">
        <f t="array" ref="G682">_xlfn.IFS(
F682&lt;50,"Small",
F682&lt;100,"Medium",
F682&lt;150,"Large",
F682&gt;=150,"Very Large"
)</f>
        <v>Medium</v>
      </c>
      <c r="H682" s="2" t="s">
        <v>32</v>
      </c>
      <c r="I682" s="2">
        <v>47.781188</v>
      </c>
      <c r="J682" s="2">
        <v>14.385356</v>
      </c>
      <c r="K682" s="2" t="str">
        <f t="shared" si="41"/>
        <v>Available</v>
      </c>
      <c r="L682" s="2" t="s">
        <v>10</v>
      </c>
      <c r="M682" s="3">
        <v>45406</v>
      </c>
      <c r="N682" s="3" t="str">
        <f t="shared" si="42"/>
        <v>April</v>
      </c>
      <c r="O682" s="2" t="s">
        <v>12</v>
      </c>
      <c r="P682" t="str">
        <f t="shared" si="43"/>
        <v>OK</v>
      </c>
    </row>
    <row r="683" spans="1:16" x14ac:dyDescent="0.3">
      <c r="A683" s="2">
        <f t="shared" si="40"/>
        <v>682</v>
      </c>
      <c r="B683" s="2" t="s">
        <v>28</v>
      </c>
      <c r="C683" s="2" t="s">
        <v>17</v>
      </c>
      <c r="D683" s="1">
        <v>26</v>
      </c>
      <c r="E683" s="1" t="str" cm="1">
        <f t="array" ref="E683">_xlfn.IFS(
D683&lt;20,"Light",
D683&lt;50,"Medium",
D683&lt;100,"Heavy",
D683&gt;=100,"Very Heavy")</f>
        <v>Medium</v>
      </c>
      <c r="F683" s="2">
        <v>91</v>
      </c>
      <c r="G683" s="2" t="str" cm="1">
        <f t="array" ref="G683">_xlfn.IFS(
F683&lt;50,"Small",
F683&lt;100,"Medium",
F683&lt;150,"Large",
F683&gt;=150,"Very Large"
)</f>
        <v>Medium</v>
      </c>
      <c r="H683" s="2" t="s">
        <v>33</v>
      </c>
      <c r="I683" s="2">
        <v>47.780999000000001</v>
      </c>
      <c r="J683" s="2">
        <v>14.38212</v>
      </c>
      <c r="K683" s="2" t="str">
        <f t="shared" si="41"/>
        <v>Available</v>
      </c>
      <c r="L683" s="2" t="s">
        <v>10</v>
      </c>
      <c r="M683" s="3">
        <v>45406</v>
      </c>
      <c r="N683" s="3" t="str">
        <f t="shared" si="42"/>
        <v>April</v>
      </c>
      <c r="O683" s="2" t="s">
        <v>12</v>
      </c>
      <c r="P683" t="str">
        <f t="shared" si="43"/>
        <v>OK</v>
      </c>
    </row>
    <row r="684" spans="1:16" x14ac:dyDescent="0.3">
      <c r="A684" s="2">
        <f t="shared" si="40"/>
        <v>683</v>
      </c>
      <c r="B684" s="2" t="s">
        <v>30</v>
      </c>
      <c r="C684" s="2" t="s">
        <v>13</v>
      </c>
      <c r="D684" s="1">
        <v>0.6</v>
      </c>
      <c r="E684" s="1" t="str" cm="1">
        <f t="array" ref="E684">_xlfn.IFS(
D684&lt;20,"Light",
D684&lt;50,"Medium",
D684&lt;100,"Heavy",
D684&gt;=100,"Very Heavy")</f>
        <v>Light</v>
      </c>
      <c r="F684" s="2">
        <v>15</v>
      </c>
      <c r="G684" s="2" t="str" cm="1">
        <f t="array" ref="G684">_xlfn.IFS(
F684&lt;50,"Small",
F684&lt;100,"Medium",
F684&lt;150,"Large",
F684&gt;=150,"Very Large"
)</f>
        <v>Small</v>
      </c>
      <c r="H684" s="2" t="s">
        <v>33</v>
      </c>
      <c r="I684" s="2">
        <v>48.185648</v>
      </c>
      <c r="J684" s="2">
        <v>17.083763000000001</v>
      </c>
      <c r="K684" s="2" t="str">
        <f t="shared" si="41"/>
        <v>Available</v>
      </c>
      <c r="L684" s="2" t="s">
        <v>10</v>
      </c>
      <c r="M684" s="3">
        <v>45406</v>
      </c>
      <c r="N684" s="3" t="str">
        <f t="shared" si="42"/>
        <v>April</v>
      </c>
      <c r="O684" s="2" t="s">
        <v>14</v>
      </c>
      <c r="P684" t="str">
        <f t="shared" si="43"/>
        <v>OK</v>
      </c>
    </row>
    <row r="685" spans="1:16" x14ac:dyDescent="0.3">
      <c r="A685" s="2">
        <f t="shared" si="40"/>
        <v>684</v>
      </c>
      <c r="B685" s="2" t="s">
        <v>28</v>
      </c>
      <c r="C685" s="2" t="s">
        <v>4</v>
      </c>
      <c r="D685" s="1">
        <v>14</v>
      </c>
      <c r="E685" s="1" t="str" cm="1">
        <f t="array" ref="E685">_xlfn.IFS(
D685&lt;20,"Light",
D685&lt;50,"Medium",
D685&lt;100,"Heavy",
D685&gt;=100,"Very Heavy")</f>
        <v>Light</v>
      </c>
      <c r="F685" s="2">
        <v>65</v>
      </c>
      <c r="G685" s="2" t="str" cm="1">
        <f t="array" ref="G685">_xlfn.IFS(
F685&lt;50,"Small",
F685&lt;100,"Medium",
F685&lt;150,"Large",
F685&gt;=150,"Very Large"
)</f>
        <v>Medium</v>
      </c>
      <c r="H685" s="2" t="s">
        <v>33</v>
      </c>
      <c r="I685" s="2">
        <v>52.851841</v>
      </c>
      <c r="J685" s="2">
        <v>23.891580000000001</v>
      </c>
      <c r="K685" s="2" t="str">
        <f t="shared" si="41"/>
        <v>Available</v>
      </c>
      <c r="L685" s="2" t="s">
        <v>10</v>
      </c>
      <c r="M685" s="3">
        <v>45407</v>
      </c>
      <c r="N685" s="3" t="str">
        <f t="shared" si="42"/>
        <v>April</v>
      </c>
      <c r="O685" s="2" t="s">
        <v>6</v>
      </c>
      <c r="P685" t="str">
        <f t="shared" si="43"/>
        <v>OK</v>
      </c>
    </row>
    <row r="686" spans="1:16" x14ac:dyDescent="0.3">
      <c r="A686" s="2">
        <f t="shared" si="40"/>
        <v>685</v>
      </c>
      <c r="B686" s="2" t="s">
        <v>29</v>
      </c>
      <c r="C686" s="2" t="s">
        <v>4</v>
      </c>
      <c r="D686" s="1">
        <v>0.311</v>
      </c>
      <c r="E686" s="1" t="str" cm="1">
        <f t="array" ref="E686">_xlfn.IFS(
D686&lt;20,"Light",
D686&lt;50,"Medium",
D686&lt;100,"Heavy",
D686&gt;=100,"Very Heavy")</f>
        <v>Light</v>
      </c>
      <c r="F686" s="2">
        <v>21</v>
      </c>
      <c r="G686" s="2" t="str" cm="1">
        <f t="array" ref="G686">_xlfn.IFS(
F686&lt;50,"Small",
F686&lt;100,"Medium",
F686&lt;150,"Large",
F686&gt;=150,"Very Large"
)</f>
        <v>Small</v>
      </c>
      <c r="H686" s="2" t="s">
        <v>32</v>
      </c>
      <c r="I686" s="2">
        <v>52.212203000000002</v>
      </c>
      <c r="J686" s="2">
        <v>21.032278999999999</v>
      </c>
      <c r="K686" s="2" t="str">
        <f t="shared" si="41"/>
        <v>Available</v>
      </c>
      <c r="L686" s="2" t="s">
        <v>10</v>
      </c>
      <c r="M686" s="3">
        <v>45407</v>
      </c>
      <c r="N686" s="3" t="str">
        <f t="shared" si="42"/>
        <v>April</v>
      </c>
      <c r="O686" s="2" t="s">
        <v>6</v>
      </c>
      <c r="P686" t="str">
        <f t="shared" si="43"/>
        <v>OK</v>
      </c>
    </row>
    <row r="687" spans="1:16" x14ac:dyDescent="0.3">
      <c r="A687" s="2">
        <f t="shared" si="40"/>
        <v>686</v>
      </c>
      <c r="B687" s="2" t="s">
        <v>30</v>
      </c>
      <c r="C687" s="2" t="s">
        <v>13</v>
      </c>
      <c r="D687" s="1">
        <v>0.7</v>
      </c>
      <c r="E687" s="1" t="str" cm="1">
        <f t="array" ref="E687">_xlfn.IFS(
D687&lt;20,"Light",
D687&lt;50,"Medium",
D687&lt;100,"Heavy",
D687&gt;=100,"Very Heavy")</f>
        <v>Light</v>
      </c>
      <c r="F687" s="2">
        <v>16</v>
      </c>
      <c r="G687" s="2" t="str" cm="1">
        <f t="array" ref="G687">_xlfn.IFS(
F687&lt;50,"Small",
F687&lt;100,"Medium",
F687&lt;150,"Large",
F687&gt;=150,"Very Large"
)</f>
        <v>Small</v>
      </c>
      <c r="H687" s="2" t="s">
        <v>32</v>
      </c>
      <c r="I687" s="2">
        <v>48.185433000000003</v>
      </c>
      <c r="J687" s="2">
        <v>17.086216</v>
      </c>
      <c r="K687" s="2" t="str">
        <f t="shared" si="41"/>
        <v>Available</v>
      </c>
      <c r="L687" s="2" t="s">
        <v>10</v>
      </c>
      <c r="M687" s="3">
        <v>45408</v>
      </c>
      <c r="N687" s="3" t="str">
        <f t="shared" si="42"/>
        <v>April</v>
      </c>
      <c r="O687" s="2" t="s">
        <v>14</v>
      </c>
      <c r="P687" t="str">
        <f t="shared" si="43"/>
        <v>OK</v>
      </c>
    </row>
    <row r="688" spans="1:16" x14ac:dyDescent="0.3">
      <c r="A688" s="2">
        <f t="shared" si="40"/>
        <v>687</v>
      </c>
      <c r="B688" s="2" t="s">
        <v>29</v>
      </c>
      <c r="C688" s="2" t="s">
        <v>4</v>
      </c>
      <c r="D688" s="1">
        <v>0.28999999999999998</v>
      </c>
      <c r="E688" s="1" t="str" cm="1">
        <f t="array" ref="E688">_xlfn.IFS(
D688&lt;20,"Light",
D688&lt;50,"Medium",
D688&lt;100,"Heavy",
D688&gt;=100,"Very Heavy")</f>
        <v>Light</v>
      </c>
      <c r="F688" s="2">
        <v>24</v>
      </c>
      <c r="G688" s="2" t="str" cm="1">
        <f t="array" ref="G688">_xlfn.IFS(
F688&lt;50,"Small",
F688&lt;100,"Medium",
F688&lt;150,"Large",
F688&gt;=150,"Very Large"
)</f>
        <v>Small</v>
      </c>
      <c r="H688" s="2" t="s">
        <v>33</v>
      </c>
      <c r="I688" s="2">
        <v>52.212763000000002</v>
      </c>
      <c r="J688" s="2">
        <v>21.032786000000002</v>
      </c>
      <c r="K688" s="2" t="str">
        <f t="shared" si="41"/>
        <v>Available</v>
      </c>
      <c r="L688" s="2" t="s">
        <v>10</v>
      </c>
      <c r="M688" s="3">
        <v>45409</v>
      </c>
      <c r="N688" s="3" t="str">
        <f t="shared" si="42"/>
        <v>April</v>
      </c>
      <c r="O688" s="2" t="s">
        <v>6</v>
      </c>
      <c r="P688" t="str">
        <f t="shared" si="43"/>
        <v>OK</v>
      </c>
    </row>
    <row r="689" spans="1:16" x14ac:dyDescent="0.3">
      <c r="A689" s="2">
        <f t="shared" si="40"/>
        <v>688</v>
      </c>
      <c r="B689" s="2" t="s">
        <v>30</v>
      </c>
      <c r="C689" s="2" t="s">
        <v>13</v>
      </c>
      <c r="D689" s="1">
        <v>1.2</v>
      </c>
      <c r="E689" s="1" t="str" cm="1">
        <f t="array" ref="E689">_xlfn.IFS(
D689&lt;20,"Light",
D689&lt;50,"Medium",
D689&lt;100,"Heavy",
D689&gt;=100,"Very Heavy")</f>
        <v>Light</v>
      </c>
      <c r="F689" s="2">
        <v>22</v>
      </c>
      <c r="G689" s="2" t="str" cm="1">
        <f t="array" ref="G689">_xlfn.IFS(
F689&lt;50,"Small",
F689&lt;100,"Medium",
F689&lt;150,"Large",
F689&gt;=150,"Very Large"
)</f>
        <v>Small</v>
      </c>
      <c r="H689" s="2" t="s">
        <v>32</v>
      </c>
      <c r="I689" s="2">
        <v>48.186912999999997</v>
      </c>
      <c r="J689" s="2">
        <v>17.088173999999999</v>
      </c>
      <c r="K689" s="2" t="str">
        <f t="shared" si="41"/>
        <v>Available</v>
      </c>
      <c r="L689" s="2" t="s">
        <v>10</v>
      </c>
      <c r="M689" s="3">
        <v>45409</v>
      </c>
      <c r="N689" s="3" t="str">
        <f t="shared" si="42"/>
        <v>April</v>
      </c>
      <c r="O689" s="2" t="s">
        <v>14</v>
      </c>
      <c r="P689" t="str">
        <f t="shared" si="43"/>
        <v>OK</v>
      </c>
    </row>
    <row r="690" spans="1:16" x14ac:dyDescent="0.3">
      <c r="A690" s="2">
        <f t="shared" si="40"/>
        <v>689</v>
      </c>
      <c r="B690" s="2" t="s">
        <v>30</v>
      </c>
      <c r="C690" s="2" t="s">
        <v>13</v>
      </c>
      <c r="D690" s="1">
        <v>0.7</v>
      </c>
      <c r="E690" s="1" t="str" cm="1">
        <f t="array" ref="E690">_xlfn.IFS(
D690&lt;20,"Light",
D690&lt;50,"Medium",
D690&lt;100,"Heavy",
D690&gt;=100,"Very Heavy")</f>
        <v>Light</v>
      </c>
      <c r="F690" s="2">
        <v>24</v>
      </c>
      <c r="G690" s="2" t="str" cm="1">
        <f t="array" ref="G690">_xlfn.IFS(
F690&lt;50,"Small",
F690&lt;100,"Medium",
F690&lt;150,"Large",
F690&gt;=150,"Very Large"
)</f>
        <v>Small</v>
      </c>
      <c r="H690" s="2" t="s">
        <v>33</v>
      </c>
      <c r="I690" s="2">
        <v>48.185648999999998</v>
      </c>
      <c r="J690" s="2">
        <v>17.088833999999999</v>
      </c>
      <c r="K690" s="2" t="str">
        <f t="shared" si="41"/>
        <v>Available</v>
      </c>
      <c r="L690" s="2" t="s">
        <v>10</v>
      </c>
      <c r="M690" s="3">
        <v>45409</v>
      </c>
      <c r="N690" s="3" t="str">
        <f t="shared" si="42"/>
        <v>April</v>
      </c>
      <c r="O690" s="2" t="s">
        <v>14</v>
      </c>
      <c r="P690" t="str">
        <f t="shared" si="43"/>
        <v>OK</v>
      </c>
    </row>
    <row r="691" spans="1:16" x14ac:dyDescent="0.3">
      <c r="A691" s="2">
        <f t="shared" si="40"/>
        <v>690</v>
      </c>
      <c r="B691" s="2" t="s">
        <v>28</v>
      </c>
      <c r="C691" s="2" t="s">
        <v>4</v>
      </c>
      <c r="D691" s="1">
        <v>12</v>
      </c>
      <c r="E691" s="1" t="str" cm="1">
        <f t="array" ref="E691">_xlfn.IFS(
D691&lt;20,"Light",
D691&lt;50,"Medium",
D691&lt;100,"Heavy",
D691&gt;=100,"Very Heavy")</f>
        <v>Light</v>
      </c>
      <c r="F691" s="2">
        <v>52</v>
      </c>
      <c r="G691" s="2" t="str" cm="1">
        <f t="array" ref="G691">_xlfn.IFS(
F691&lt;50,"Small",
F691&lt;100,"Medium",
F691&lt;150,"Large",
F691&gt;=150,"Very Large"
)</f>
        <v>Medium</v>
      </c>
      <c r="H691" s="2" t="s">
        <v>32</v>
      </c>
      <c r="I691" s="2">
        <v>52.848213999999999</v>
      </c>
      <c r="J691" s="2">
        <v>23.891978000000002</v>
      </c>
      <c r="K691" s="2" t="str">
        <f t="shared" si="41"/>
        <v>Available</v>
      </c>
      <c r="L691" s="2" t="s">
        <v>10</v>
      </c>
      <c r="M691" s="3">
        <v>45410</v>
      </c>
      <c r="N691" s="3" t="str">
        <f t="shared" si="42"/>
        <v>April</v>
      </c>
      <c r="O691" s="2" t="s">
        <v>6</v>
      </c>
      <c r="P691" t="str">
        <f t="shared" si="43"/>
        <v>OK</v>
      </c>
    </row>
    <row r="692" spans="1:16" x14ac:dyDescent="0.3">
      <c r="A692" s="2">
        <f t="shared" si="40"/>
        <v>691</v>
      </c>
      <c r="B692" s="2" t="s">
        <v>28</v>
      </c>
      <c r="C692" s="2" t="s">
        <v>4</v>
      </c>
      <c r="D692" s="1">
        <v>27</v>
      </c>
      <c r="E692" s="1" t="str" cm="1">
        <f t="array" ref="E692">_xlfn.IFS(
D692&lt;20,"Light",
D692&lt;50,"Medium",
D692&lt;100,"Heavy",
D692&gt;=100,"Very Heavy")</f>
        <v>Medium</v>
      </c>
      <c r="F692" s="2">
        <v>95</v>
      </c>
      <c r="G692" s="2" t="str" cm="1">
        <f t="array" ref="G692">_xlfn.IFS(
F692&lt;50,"Small",
F692&lt;100,"Medium",
F692&lt;150,"Large",
F692&gt;=150,"Very Large"
)</f>
        <v>Medium</v>
      </c>
      <c r="H692" s="2" t="s">
        <v>33</v>
      </c>
      <c r="I692" s="2">
        <v>52.853842999999998</v>
      </c>
      <c r="J692" s="2">
        <v>23.919668000000001</v>
      </c>
      <c r="K692" s="2" t="str">
        <f t="shared" si="41"/>
        <v>Available</v>
      </c>
      <c r="L692" s="2" t="s">
        <v>10</v>
      </c>
      <c r="M692" s="3">
        <v>45410</v>
      </c>
      <c r="N692" s="3" t="str">
        <f t="shared" si="42"/>
        <v>April</v>
      </c>
      <c r="O692" s="2" t="s">
        <v>6</v>
      </c>
      <c r="P692" t="str">
        <f t="shared" si="43"/>
        <v>OK</v>
      </c>
    </row>
    <row r="693" spans="1:16" x14ac:dyDescent="0.3">
      <c r="A693" s="2">
        <f t="shared" si="40"/>
        <v>692</v>
      </c>
      <c r="B693" s="2" t="s">
        <v>29</v>
      </c>
      <c r="C693" s="2" t="s">
        <v>4</v>
      </c>
      <c r="D693" s="1">
        <v>0.312</v>
      </c>
      <c r="E693" s="1" t="str" cm="1">
        <f t="array" ref="E693">_xlfn.IFS(
D693&lt;20,"Light",
D693&lt;50,"Medium",
D693&lt;100,"Heavy",
D693&gt;=100,"Very Heavy")</f>
        <v>Light</v>
      </c>
      <c r="F693" s="2">
        <v>23</v>
      </c>
      <c r="G693" s="2" t="str" cm="1">
        <f t="array" ref="G693">_xlfn.IFS(
F693&lt;50,"Small",
F693&lt;100,"Medium",
F693&lt;150,"Large",
F693&gt;=150,"Very Large"
)</f>
        <v>Small</v>
      </c>
      <c r="H693" s="2" t="s">
        <v>32</v>
      </c>
      <c r="I693" s="2">
        <v>52.212119999999999</v>
      </c>
      <c r="J693" s="2">
        <v>21.034268000000001</v>
      </c>
      <c r="K693" s="2" t="str">
        <f t="shared" si="41"/>
        <v>Available</v>
      </c>
      <c r="L693" s="2" t="s">
        <v>10</v>
      </c>
      <c r="M693" s="3">
        <v>45410</v>
      </c>
      <c r="N693" s="3" t="str">
        <f t="shared" si="42"/>
        <v>April</v>
      </c>
      <c r="O693" s="2" t="s">
        <v>6</v>
      </c>
      <c r="P693" t="str">
        <f t="shared" si="43"/>
        <v>OK</v>
      </c>
    </row>
    <row r="694" spans="1:16" x14ac:dyDescent="0.3">
      <c r="A694" s="2">
        <f t="shared" si="40"/>
        <v>693</v>
      </c>
      <c r="B694" s="2" t="s">
        <v>30</v>
      </c>
      <c r="C694" s="2" t="s">
        <v>11</v>
      </c>
      <c r="D694" s="1">
        <v>0.5</v>
      </c>
      <c r="E694" s="1" t="str" cm="1">
        <f t="array" ref="E694">_xlfn.IFS(
D694&lt;20,"Light",
D694&lt;50,"Medium",
D694&lt;100,"Heavy",
D694&gt;=100,"Very Heavy")</f>
        <v>Light</v>
      </c>
      <c r="F694" s="2">
        <v>20</v>
      </c>
      <c r="G694" s="2" t="str" cm="1">
        <f t="array" ref="G694">_xlfn.IFS(
F694&lt;50,"Small",
F694&lt;100,"Medium",
F694&lt;150,"Large",
F694&gt;=150,"Very Large"
)</f>
        <v>Small</v>
      </c>
      <c r="H694" s="2" t="s">
        <v>32</v>
      </c>
      <c r="I694" s="2">
        <v>49.553240000000002</v>
      </c>
      <c r="J694" s="2">
        <v>11.074007999999999</v>
      </c>
      <c r="K694" s="2" t="str">
        <f t="shared" si="41"/>
        <v>Available</v>
      </c>
      <c r="L694" s="2" t="s">
        <v>10</v>
      </c>
      <c r="M694" s="3">
        <v>45410</v>
      </c>
      <c r="N694" s="3" t="str">
        <f t="shared" si="42"/>
        <v>April</v>
      </c>
      <c r="O694" s="2" t="s">
        <v>12</v>
      </c>
      <c r="P694" t="str">
        <f t="shared" si="43"/>
        <v>OK</v>
      </c>
    </row>
    <row r="695" spans="1:16" x14ac:dyDescent="0.3">
      <c r="A695" s="2">
        <f t="shared" si="40"/>
        <v>694</v>
      </c>
      <c r="B695" s="2" t="s">
        <v>30</v>
      </c>
      <c r="C695" s="2" t="s">
        <v>11</v>
      </c>
      <c r="D695" s="1">
        <v>1.1000000000000001</v>
      </c>
      <c r="E695" s="1" t="str" cm="1">
        <f t="array" ref="E695">_xlfn.IFS(
D695&lt;20,"Light",
D695&lt;50,"Medium",
D695&lt;100,"Heavy",
D695&gt;=100,"Very Heavy")</f>
        <v>Light</v>
      </c>
      <c r="F695" s="2">
        <v>20</v>
      </c>
      <c r="G695" s="2" t="str" cm="1">
        <f t="array" ref="G695">_xlfn.IFS(
F695&lt;50,"Small",
F695&lt;100,"Medium",
F695&lt;150,"Large",
F695&gt;=150,"Very Large"
)</f>
        <v>Small</v>
      </c>
      <c r="H695" s="2" t="s">
        <v>33</v>
      </c>
      <c r="I695" s="2">
        <v>49.551561999999997</v>
      </c>
      <c r="J695" s="2">
        <v>11.081737</v>
      </c>
      <c r="K695" s="2" t="str">
        <f t="shared" si="41"/>
        <v>Available</v>
      </c>
      <c r="L695" s="2" t="s">
        <v>10</v>
      </c>
      <c r="M695" s="3">
        <v>45410</v>
      </c>
      <c r="N695" s="3" t="str">
        <f t="shared" si="42"/>
        <v>April</v>
      </c>
      <c r="O695" s="2" t="s">
        <v>12</v>
      </c>
      <c r="P695" t="str">
        <f t="shared" si="43"/>
        <v>OK</v>
      </c>
    </row>
    <row r="696" spans="1:16" x14ac:dyDescent="0.3">
      <c r="A696" s="2">
        <f t="shared" si="40"/>
        <v>695</v>
      </c>
      <c r="B696" s="2" t="s">
        <v>30</v>
      </c>
      <c r="C696" s="2" t="s">
        <v>11</v>
      </c>
      <c r="D696" s="1">
        <v>0.6</v>
      </c>
      <c r="E696" s="1" t="str" cm="1">
        <f t="array" ref="E696">_xlfn.IFS(
D696&lt;20,"Light",
D696&lt;50,"Medium",
D696&lt;100,"Heavy",
D696&gt;=100,"Very Heavy")</f>
        <v>Light</v>
      </c>
      <c r="F696" s="2">
        <v>18</v>
      </c>
      <c r="G696" s="2" t="str" cm="1">
        <f t="array" ref="G696">_xlfn.IFS(
F696&lt;50,"Small",
F696&lt;100,"Medium",
F696&lt;150,"Large",
F696&gt;=150,"Very Large"
)</f>
        <v>Small</v>
      </c>
      <c r="H696" s="2" t="s">
        <v>32</v>
      </c>
      <c r="I696" s="2">
        <v>49.547376</v>
      </c>
      <c r="J696" s="2">
        <v>11.079529000000001</v>
      </c>
      <c r="K696" s="2" t="str">
        <f t="shared" si="41"/>
        <v>Available</v>
      </c>
      <c r="L696" s="2" t="s">
        <v>10</v>
      </c>
      <c r="M696" s="3">
        <v>45410</v>
      </c>
      <c r="N696" s="3" t="str">
        <f t="shared" si="42"/>
        <v>April</v>
      </c>
      <c r="O696" s="2" t="s">
        <v>12</v>
      </c>
      <c r="P696" t="str">
        <f t="shared" si="43"/>
        <v>OK</v>
      </c>
    </row>
    <row r="697" spans="1:16" x14ac:dyDescent="0.3">
      <c r="A697" s="2">
        <f t="shared" si="40"/>
        <v>696</v>
      </c>
      <c r="B697" s="2" t="s">
        <v>30</v>
      </c>
      <c r="C697" s="2" t="s">
        <v>11</v>
      </c>
      <c r="D697" s="1">
        <v>0.8</v>
      </c>
      <c r="E697" s="1" t="str" cm="1">
        <f t="array" ref="E697">_xlfn.IFS(
D697&lt;20,"Light",
D697&lt;50,"Medium",
D697&lt;100,"Heavy",
D697&gt;=100,"Very Heavy")</f>
        <v>Light</v>
      </c>
      <c r="F697" s="2">
        <v>20</v>
      </c>
      <c r="G697" s="2" t="str" cm="1">
        <f t="array" ref="G697">_xlfn.IFS(
F697&lt;50,"Small",
F697&lt;100,"Medium",
F697&lt;150,"Large",
F697&gt;=150,"Very Large"
)</f>
        <v>Small</v>
      </c>
      <c r="H697" s="2" t="s">
        <v>32</v>
      </c>
      <c r="I697" s="2">
        <v>49.560178000000001</v>
      </c>
      <c r="J697" s="2">
        <v>11.093259</v>
      </c>
      <c r="K697" s="2" t="str">
        <f t="shared" si="41"/>
        <v>Available</v>
      </c>
      <c r="L697" s="2" t="s">
        <v>10</v>
      </c>
      <c r="M697" s="3">
        <v>45410</v>
      </c>
      <c r="N697" s="3" t="str">
        <f t="shared" si="42"/>
        <v>April</v>
      </c>
      <c r="O697" s="2" t="s">
        <v>12</v>
      </c>
      <c r="P697" t="str">
        <f t="shared" si="43"/>
        <v>OK</v>
      </c>
    </row>
    <row r="698" spans="1:16" x14ac:dyDescent="0.3">
      <c r="A698" s="2">
        <f t="shared" si="40"/>
        <v>697</v>
      </c>
      <c r="B698" s="2" t="s">
        <v>30</v>
      </c>
      <c r="C698" s="2" t="s">
        <v>11</v>
      </c>
      <c r="D698" s="1">
        <v>0.8</v>
      </c>
      <c r="E698" s="1" t="str" cm="1">
        <f t="array" ref="E698">_xlfn.IFS(
D698&lt;20,"Light",
D698&lt;50,"Medium",
D698&lt;100,"Heavy",
D698&gt;=100,"Very Heavy")</f>
        <v>Light</v>
      </c>
      <c r="F698" s="2">
        <v>19</v>
      </c>
      <c r="G698" s="2" t="str" cm="1">
        <f t="array" ref="G698">_xlfn.IFS(
F698&lt;50,"Small",
F698&lt;100,"Medium",
F698&lt;150,"Large",
F698&gt;=150,"Very Large"
)</f>
        <v>Small</v>
      </c>
      <c r="H698" s="2" t="s">
        <v>32</v>
      </c>
      <c r="I698" s="2">
        <v>49.558968</v>
      </c>
      <c r="J698" s="2">
        <v>11.106642000000001</v>
      </c>
      <c r="K698" s="2" t="str">
        <f t="shared" si="41"/>
        <v>Available</v>
      </c>
      <c r="L698" s="2" t="s">
        <v>10</v>
      </c>
      <c r="M698" s="3">
        <v>45410</v>
      </c>
      <c r="N698" s="3" t="str">
        <f t="shared" si="42"/>
        <v>April</v>
      </c>
      <c r="O698" s="2" t="s">
        <v>12</v>
      </c>
      <c r="P698" t="str">
        <f t="shared" si="43"/>
        <v>OK</v>
      </c>
    </row>
    <row r="699" spans="1:16" x14ac:dyDescent="0.3">
      <c r="A699" s="2">
        <f t="shared" si="40"/>
        <v>698</v>
      </c>
      <c r="B699" s="2" t="s">
        <v>30</v>
      </c>
      <c r="C699" s="2" t="s">
        <v>13</v>
      </c>
      <c r="D699" s="1">
        <v>0.9</v>
      </c>
      <c r="E699" s="1" t="str" cm="1">
        <f t="array" ref="E699">_xlfn.IFS(
D699&lt;20,"Light",
D699&lt;50,"Medium",
D699&lt;100,"Heavy",
D699&gt;=100,"Very Heavy")</f>
        <v>Light</v>
      </c>
      <c r="F699" s="2">
        <v>20</v>
      </c>
      <c r="G699" s="2" t="str" cm="1">
        <f t="array" ref="G699">_xlfn.IFS(
F699&lt;50,"Small",
F699&lt;100,"Medium",
F699&lt;150,"Large",
F699&gt;=150,"Very Large"
)</f>
        <v>Small</v>
      </c>
      <c r="H699" s="2" t="s">
        <v>32</v>
      </c>
      <c r="I699" s="2">
        <v>48.186369999999997</v>
      </c>
      <c r="J699" s="2">
        <v>17.090384</v>
      </c>
      <c r="K699" s="2" t="str">
        <f t="shared" si="41"/>
        <v>Available</v>
      </c>
      <c r="L699" s="2" t="s">
        <v>10</v>
      </c>
      <c r="M699" s="3">
        <v>45410</v>
      </c>
      <c r="N699" s="3" t="str">
        <f t="shared" si="42"/>
        <v>April</v>
      </c>
      <c r="O699" s="2" t="s">
        <v>14</v>
      </c>
      <c r="P699" t="str">
        <f t="shared" si="43"/>
        <v>OK</v>
      </c>
    </row>
    <row r="700" spans="1:16" x14ac:dyDescent="0.3">
      <c r="A700" s="2">
        <f t="shared" si="40"/>
        <v>699</v>
      </c>
      <c r="B700" s="2" t="s">
        <v>30</v>
      </c>
      <c r="C700" s="2" t="s">
        <v>7</v>
      </c>
      <c r="D700" s="1">
        <v>0.6</v>
      </c>
      <c r="E700" s="1" t="str" cm="1">
        <f t="array" ref="E700">_xlfn.IFS(
D700&lt;20,"Light",
D700&lt;50,"Medium",
D700&lt;100,"Heavy",
D700&gt;=100,"Very Heavy")</f>
        <v>Light</v>
      </c>
      <c r="F700" s="2">
        <v>16</v>
      </c>
      <c r="G700" s="2" t="str" cm="1">
        <f t="array" ref="G700">_xlfn.IFS(
F700&lt;50,"Small",
F700&lt;100,"Medium",
F700&lt;150,"Large",
F700&gt;=150,"Very Large"
)</f>
        <v>Small</v>
      </c>
      <c r="H700" s="2" t="s">
        <v>33</v>
      </c>
      <c r="I700" s="2">
        <v>47.506034999999997</v>
      </c>
      <c r="J700" s="2">
        <v>18.944527999999998</v>
      </c>
      <c r="K700" s="2" t="str">
        <f t="shared" si="41"/>
        <v>Available</v>
      </c>
      <c r="L700" s="2" t="s">
        <v>10</v>
      </c>
      <c r="M700" s="3">
        <v>45411</v>
      </c>
      <c r="N700" s="3" t="str">
        <f t="shared" si="42"/>
        <v>April</v>
      </c>
      <c r="O700" s="2" t="s">
        <v>6</v>
      </c>
      <c r="P700" t="str">
        <f t="shared" si="43"/>
        <v>OK</v>
      </c>
    </row>
    <row r="701" spans="1:16" x14ac:dyDescent="0.3">
      <c r="A701" s="2">
        <f t="shared" si="40"/>
        <v>700</v>
      </c>
      <c r="B701" s="2" t="s">
        <v>29</v>
      </c>
      <c r="C701" s="2" t="s">
        <v>4</v>
      </c>
      <c r="D701" s="1">
        <v>0.27</v>
      </c>
      <c r="E701" s="1" t="str" cm="1">
        <f t="array" ref="E701">_xlfn.IFS(
D701&lt;20,"Light",
D701&lt;50,"Medium",
D701&lt;100,"Heavy",
D701&gt;=100,"Very Heavy")</f>
        <v>Light</v>
      </c>
      <c r="F701" s="2">
        <v>21</v>
      </c>
      <c r="G701" s="2" t="str" cm="1">
        <f t="array" ref="G701">_xlfn.IFS(
F701&lt;50,"Small",
F701&lt;100,"Medium",
F701&lt;150,"Large",
F701&gt;=150,"Very Large"
)</f>
        <v>Small</v>
      </c>
      <c r="H701" s="2" t="s">
        <v>33</v>
      </c>
      <c r="I701" s="2">
        <v>52.212389999999999</v>
      </c>
      <c r="J701" s="2">
        <v>21.034548000000001</v>
      </c>
      <c r="K701" s="2" t="str">
        <f t="shared" si="41"/>
        <v>Available</v>
      </c>
      <c r="L701" s="2" t="s">
        <v>8</v>
      </c>
      <c r="M701" s="3">
        <v>45411</v>
      </c>
      <c r="N701" s="3" t="str">
        <f t="shared" si="42"/>
        <v>April</v>
      </c>
      <c r="O701" s="2" t="s">
        <v>6</v>
      </c>
      <c r="P701" t="str">
        <f t="shared" si="43"/>
        <v>OK</v>
      </c>
    </row>
    <row r="702" spans="1:16" x14ac:dyDescent="0.3">
      <c r="A702" s="2">
        <f t="shared" si="40"/>
        <v>701</v>
      </c>
      <c r="B702" s="2" t="s">
        <v>30</v>
      </c>
      <c r="C702" s="2" t="s">
        <v>13</v>
      </c>
      <c r="D702" s="1">
        <v>1.1000000000000001</v>
      </c>
      <c r="E702" s="1" t="str" cm="1">
        <f t="array" ref="E702">_xlfn.IFS(
D702&lt;20,"Light",
D702&lt;50,"Medium",
D702&lt;100,"Heavy",
D702&gt;=100,"Very Heavy")</f>
        <v>Light</v>
      </c>
      <c r="F702" s="2">
        <v>23</v>
      </c>
      <c r="G702" s="2" t="str" cm="1">
        <f t="array" ref="G702">_xlfn.IFS(
F702&lt;50,"Small",
F702&lt;100,"Medium",
F702&lt;150,"Large",
F702&gt;=150,"Very Large"
)</f>
        <v>Small</v>
      </c>
      <c r="H702" s="2" t="s">
        <v>32</v>
      </c>
      <c r="I702" s="2">
        <v>48.183847999999998</v>
      </c>
      <c r="J702" s="2">
        <v>17.082806000000001</v>
      </c>
      <c r="K702" s="2" t="str">
        <f t="shared" si="41"/>
        <v>Available</v>
      </c>
      <c r="L702" s="2" t="s">
        <v>10</v>
      </c>
      <c r="M702" s="3">
        <v>45411</v>
      </c>
      <c r="N702" s="3" t="str">
        <f t="shared" si="42"/>
        <v>April</v>
      </c>
      <c r="O702" s="2" t="s">
        <v>14</v>
      </c>
      <c r="P702" t="str">
        <f t="shared" si="43"/>
        <v>OK</v>
      </c>
    </row>
    <row r="703" spans="1:16" x14ac:dyDescent="0.3">
      <c r="A703" s="2">
        <f t="shared" si="40"/>
        <v>702</v>
      </c>
      <c r="B703" s="2" t="s">
        <v>28</v>
      </c>
      <c r="C703" s="2" t="s">
        <v>13</v>
      </c>
      <c r="D703" s="1">
        <v>22</v>
      </c>
      <c r="E703" s="1" t="str" cm="1">
        <f t="array" ref="E703">_xlfn.IFS(
D703&lt;20,"Light",
D703&lt;50,"Medium",
D703&lt;100,"Heavy",
D703&gt;=100,"Very Heavy")</f>
        <v>Medium</v>
      </c>
      <c r="F703" s="2">
        <v>73</v>
      </c>
      <c r="G703" s="2" t="str" cm="1">
        <f t="array" ref="G703">_xlfn.IFS(
F703&lt;50,"Small",
F703&lt;100,"Medium",
F703&lt;150,"Large",
F703&gt;=150,"Very Large"
)</f>
        <v>Medium</v>
      </c>
      <c r="H703" s="2" t="s">
        <v>32</v>
      </c>
      <c r="I703" s="2">
        <v>48.410550999999998</v>
      </c>
      <c r="J703" s="2">
        <v>18.864865999999999</v>
      </c>
      <c r="K703" s="2" t="str">
        <f t="shared" si="41"/>
        <v>Available</v>
      </c>
      <c r="L703" s="2" t="s">
        <v>10</v>
      </c>
      <c r="M703" s="3">
        <v>45411</v>
      </c>
      <c r="N703" s="3" t="str">
        <f t="shared" si="42"/>
        <v>April</v>
      </c>
      <c r="O703" s="2" t="s">
        <v>14</v>
      </c>
      <c r="P703" t="str">
        <f t="shared" si="43"/>
        <v>OK</v>
      </c>
    </row>
    <row r="704" spans="1:16" x14ac:dyDescent="0.3">
      <c r="A704" s="2">
        <f t="shared" si="40"/>
        <v>703</v>
      </c>
      <c r="B704" s="2" t="s">
        <v>29</v>
      </c>
      <c r="C704" s="2" t="s">
        <v>4</v>
      </c>
      <c r="D704" s="1">
        <v>0.29199999999999998</v>
      </c>
      <c r="E704" s="1" t="str" cm="1">
        <f t="array" ref="E704">_xlfn.IFS(
D704&lt;20,"Light",
D704&lt;50,"Medium",
D704&lt;100,"Heavy",
D704&gt;=100,"Very Heavy")</f>
        <v>Light</v>
      </c>
      <c r="F704" s="2">
        <v>20</v>
      </c>
      <c r="G704" s="2" t="str" cm="1">
        <f t="array" ref="G704">_xlfn.IFS(
F704&lt;50,"Small",
F704&lt;100,"Medium",
F704&lt;150,"Large",
F704&gt;=150,"Very Large"
)</f>
        <v>Small</v>
      </c>
      <c r="H704" s="2" t="s">
        <v>33</v>
      </c>
      <c r="I704" s="2">
        <v>52.212432999999997</v>
      </c>
      <c r="J704" s="2">
        <v>21.032495999999998</v>
      </c>
      <c r="K704" s="2" t="str">
        <f t="shared" si="41"/>
        <v>Available</v>
      </c>
      <c r="L704" s="2" t="s">
        <v>10</v>
      </c>
      <c r="M704" s="3">
        <v>45412</v>
      </c>
      <c r="N704" s="3" t="str">
        <f t="shared" si="42"/>
        <v>April</v>
      </c>
      <c r="O704" s="2" t="s">
        <v>6</v>
      </c>
      <c r="P704" t="str">
        <f t="shared" si="43"/>
        <v>OK</v>
      </c>
    </row>
    <row r="705" spans="1:16" x14ac:dyDescent="0.3">
      <c r="A705" s="2">
        <f t="shared" si="40"/>
        <v>704</v>
      </c>
      <c r="B705" s="2" t="s">
        <v>29</v>
      </c>
      <c r="C705" s="2" t="s">
        <v>4</v>
      </c>
      <c r="D705" s="1">
        <v>0.30499999999999999</v>
      </c>
      <c r="E705" s="1" t="str" cm="1">
        <f t="array" ref="E705">_xlfn.IFS(
D705&lt;20,"Light",
D705&lt;50,"Medium",
D705&lt;100,"Heavy",
D705&gt;=100,"Very Heavy")</f>
        <v>Light</v>
      </c>
      <c r="F705" s="2">
        <v>19</v>
      </c>
      <c r="G705" s="2" t="str" cm="1">
        <f t="array" ref="G705">_xlfn.IFS(
F705&lt;50,"Small",
F705&lt;100,"Medium",
F705&lt;150,"Large",
F705&gt;=150,"Very Large"
)</f>
        <v>Small</v>
      </c>
      <c r="H705" s="2" t="s">
        <v>33</v>
      </c>
      <c r="I705" s="2">
        <v>52.212746000000003</v>
      </c>
      <c r="J705" s="2">
        <v>21.033832</v>
      </c>
      <c r="K705" s="2" t="str">
        <f t="shared" si="41"/>
        <v>Available</v>
      </c>
      <c r="L705" s="2" t="s">
        <v>10</v>
      </c>
      <c r="M705" s="3">
        <v>45421</v>
      </c>
      <c r="N705" s="3" t="str">
        <f t="shared" si="42"/>
        <v>May</v>
      </c>
      <c r="O705" s="2" t="s">
        <v>6</v>
      </c>
      <c r="P705" t="str">
        <f t="shared" si="43"/>
        <v>OK</v>
      </c>
    </row>
    <row r="706" spans="1:16" x14ac:dyDescent="0.3">
      <c r="A706" s="2">
        <f t="shared" si="40"/>
        <v>705</v>
      </c>
      <c r="B706" s="2" t="s">
        <v>30</v>
      </c>
      <c r="C706" s="2" t="s">
        <v>13</v>
      </c>
      <c r="D706" s="1">
        <v>0.7</v>
      </c>
      <c r="E706" s="1" t="str" cm="1">
        <f t="array" ref="E706">_xlfn.IFS(
D706&lt;20,"Light",
D706&lt;50,"Medium",
D706&lt;100,"Heavy",
D706&gt;=100,"Very Heavy")</f>
        <v>Light</v>
      </c>
      <c r="F706" s="2">
        <v>22</v>
      </c>
      <c r="G706" s="2" t="str" cm="1">
        <f t="array" ref="G706">_xlfn.IFS(
F706&lt;50,"Small",
F706&lt;100,"Medium",
F706&lt;150,"Large",
F706&gt;=150,"Very Large"
)</f>
        <v>Small</v>
      </c>
      <c r="H706" s="2" t="s">
        <v>32</v>
      </c>
      <c r="I706" s="2">
        <v>48.232759999999999</v>
      </c>
      <c r="J706" s="2">
        <v>17.069049</v>
      </c>
      <c r="K706" s="2" t="str">
        <f t="shared" si="41"/>
        <v>Available</v>
      </c>
      <c r="L706" s="2" t="s">
        <v>10</v>
      </c>
      <c r="M706" s="3">
        <v>45421</v>
      </c>
      <c r="N706" s="3" t="str">
        <f t="shared" si="42"/>
        <v>May</v>
      </c>
      <c r="O706" s="2" t="s">
        <v>14</v>
      </c>
      <c r="P706" t="str">
        <f t="shared" si="43"/>
        <v>OK</v>
      </c>
    </row>
    <row r="707" spans="1:16" x14ac:dyDescent="0.3">
      <c r="A707" s="2">
        <f t="shared" ref="A707:A770" si="44">ROW()-1</f>
        <v>706</v>
      </c>
      <c r="B707" s="2" t="s">
        <v>30</v>
      </c>
      <c r="C707" s="2" t="s">
        <v>7</v>
      </c>
      <c r="D707" s="1">
        <v>0.7</v>
      </c>
      <c r="E707" s="1" t="str" cm="1">
        <f t="array" ref="E707">_xlfn.IFS(
D707&lt;20,"Light",
D707&lt;50,"Medium",
D707&lt;100,"Heavy",
D707&gt;=100,"Very Heavy")</f>
        <v>Light</v>
      </c>
      <c r="F707" s="2">
        <v>16</v>
      </c>
      <c r="G707" s="2" t="str" cm="1">
        <f t="array" ref="G707">_xlfn.IFS(
F707&lt;50,"Small",
F707&lt;100,"Medium",
F707&lt;150,"Large",
F707&gt;=150,"Very Large"
)</f>
        <v>Small</v>
      </c>
      <c r="H707" s="2" t="s">
        <v>32</v>
      </c>
      <c r="I707" s="2">
        <v>47.509594999999997</v>
      </c>
      <c r="J707" s="2">
        <v>18.939751000000001</v>
      </c>
      <c r="K707" s="2" t="str">
        <f t="shared" ref="K707:K770" si="45">IF(OR(I707="",J707=""),"Missing Location","Available")</f>
        <v>Available</v>
      </c>
      <c r="L707" s="2" t="s">
        <v>10</v>
      </c>
      <c r="M707" s="3">
        <v>45422</v>
      </c>
      <c r="N707" s="3" t="str">
        <f t="shared" ref="N707:N770" si="46">TEXT(M707,"mmmm")</f>
        <v>May</v>
      </c>
      <c r="O707" s="2" t="s">
        <v>6</v>
      </c>
      <c r="P707" t="str">
        <f t="shared" ref="P707:P770" si="47">IF(OR(B707="",C707="",D707="",E707="",J707=""),"Needs Review","OK")</f>
        <v>OK</v>
      </c>
    </row>
    <row r="708" spans="1:16" x14ac:dyDescent="0.3">
      <c r="A708" s="2">
        <f t="shared" si="44"/>
        <v>707</v>
      </c>
      <c r="B708" s="2" t="s">
        <v>30</v>
      </c>
      <c r="C708" s="2" t="s">
        <v>7</v>
      </c>
      <c r="D708" s="1">
        <v>1</v>
      </c>
      <c r="E708" s="1" t="str" cm="1">
        <f t="array" ref="E708">_xlfn.IFS(
D708&lt;20,"Light",
D708&lt;50,"Medium",
D708&lt;100,"Heavy",
D708&gt;=100,"Very Heavy")</f>
        <v>Light</v>
      </c>
      <c r="F708" s="2">
        <v>20</v>
      </c>
      <c r="G708" s="2" t="str" cm="1">
        <f t="array" ref="G708">_xlfn.IFS(
F708&lt;50,"Small",
F708&lt;100,"Medium",
F708&lt;150,"Large",
F708&gt;=150,"Very Large"
)</f>
        <v>Small</v>
      </c>
      <c r="H708" s="2" t="s">
        <v>32</v>
      </c>
      <c r="I708" s="2">
        <v>47.511301000000003</v>
      </c>
      <c r="J708" s="2">
        <v>18.93974</v>
      </c>
      <c r="K708" s="2" t="str">
        <f t="shared" si="45"/>
        <v>Available</v>
      </c>
      <c r="L708" s="2" t="s">
        <v>10</v>
      </c>
      <c r="M708" s="3">
        <v>45422</v>
      </c>
      <c r="N708" s="3" t="str">
        <f t="shared" si="46"/>
        <v>May</v>
      </c>
      <c r="O708" s="2" t="s">
        <v>6</v>
      </c>
      <c r="P708" t="str">
        <f t="shared" si="47"/>
        <v>OK</v>
      </c>
    </row>
    <row r="709" spans="1:16" x14ac:dyDescent="0.3">
      <c r="A709" s="2">
        <f t="shared" si="44"/>
        <v>708</v>
      </c>
      <c r="B709" s="2" t="s">
        <v>29</v>
      </c>
      <c r="C709" s="2" t="s">
        <v>4</v>
      </c>
      <c r="D709" s="1">
        <v>0.26400000000000001</v>
      </c>
      <c r="E709" s="1" t="str" cm="1">
        <f t="array" ref="E709">_xlfn.IFS(
D709&lt;20,"Light",
D709&lt;50,"Medium",
D709&lt;100,"Heavy",
D709&gt;=100,"Very Heavy")</f>
        <v>Light</v>
      </c>
      <c r="F709" s="2">
        <v>21</v>
      </c>
      <c r="G709" s="2" t="str" cm="1">
        <f t="array" ref="G709">_xlfn.IFS(
F709&lt;50,"Small",
F709&lt;100,"Medium",
F709&lt;150,"Large",
F709&gt;=150,"Very Large"
)</f>
        <v>Small</v>
      </c>
      <c r="H709" s="2" t="s">
        <v>32</v>
      </c>
      <c r="I709" s="2">
        <v>52.212147999999999</v>
      </c>
      <c r="J709" s="2">
        <v>21.033421000000001</v>
      </c>
      <c r="K709" s="2" t="str">
        <f t="shared" si="45"/>
        <v>Available</v>
      </c>
      <c r="L709" s="2" t="s">
        <v>10</v>
      </c>
      <c r="M709" s="3">
        <v>45423</v>
      </c>
      <c r="N709" s="3" t="str">
        <f t="shared" si="46"/>
        <v>May</v>
      </c>
      <c r="O709" s="2" t="s">
        <v>6</v>
      </c>
      <c r="P709" t="str">
        <f t="shared" si="47"/>
        <v>OK</v>
      </c>
    </row>
    <row r="710" spans="1:16" x14ac:dyDescent="0.3">
      <c r="A710" s="2">
        <f t="shared" si="44"/>
        <v>709</v>
      </c>
      <c r="B710" s="2" t="s">
        <v>30</v>
      </c>
      <c r="C710" s="2" t="s">
        <v>11</v>
      </c>
      <c r="D710" s="1">
        <v>0.7</v>
      </c>
      <c r="E710" s="1" t="str" cm="1">
        <f t="array" ref="E710">_xlfn.IFS(
D710&lt;20,"Light",
D710&lt;50,"Medium",
D710&lt;100,"Heavy",
D710&gt;=100,"Very Heavy")</f>
        <v>Light</v>
      </c>
      <c r="F710" s="2">
        <v>24</v>
      </c>
      <c r="G710" s="2" t="str" cm="1">
        <f t="array" ref="G710">_xlfn.IFS(
F710&lt;50,"Small",
F710&lt;100,"Medium",
F710&lt;150,"Large",
F710&gt;=150,"Very Large"
)</f>
        <v>Small</v>
      </c>
      <c r="H710" s="2" t="s">
        <v>32</v>
      </c>
      <c r="I710" s="2">
        <v>49.560229999999997</v>
      </c>
      <c r="J710" s="2">
        <v>11.102233</v>
      </c>
      <c r="K710" s="2" t="str">
        <f t="shared" si="45"/>
        <v>Available</v>
      </c>
      <c r="L710" s="2" t="s">
        <v>10</v>
      </c>
      <c r="M710" s="3">
        <v>45423</v>
      </c>
      <c r="N710" s="3" t="str">
        <f t="shared" si="46"/>
        <v>May</v>
      </c>
      <c r="O710" s="2" t="s">
        <v>12</v>
      </c>
      <c r="P710" t="str">
        <f t="shared" si="47"/>
        <v>OK</v>
      </c>
    </row>
    <row r="711" spans="1:16" x14ac:dyDescent="0.3">
      <c r="A711" s="2">
        <f t="shared" si="44"/>
        <v>710</v>
      </c>
      <c r="B711" s="2" t="s">
        <v>30</v>
      </c>
      <c r="C711" s="2" t="s">
        <v>11</v>
      </c>
      <c r="D711" s="1">
        <v>1.1000000000000001</v>
      </c>
      <c r="E711" s="1" t="str" cm="1">
        <f t="array" ref="E711">_xlfn.IFS(
D711&lt;20,"Light",
D711&lt;50,"Medium",
D711&lt;100,"Heavy",
D711&gt;=100,"Very Heavy")</f>
        <v>Light</v>
      </c>
      <c r="F711" s="2">
        <v>19</v>
      </c>
      <c r="G711" s="2" t="str" cm="1">
        <f t="array" ref="G711">_xlfn.IFS(
F711&lt;50,"Small",
F711&lt;100,"Medium",
F711&lt;150,"Large",
F711&gt;=150,"Very Large"
)</f>
        <v>Small</v>
      </c>
      <c r="H711" s="2" t="s">
        <v>33</v>
      </c>
      <c r="I711" s="2">
        <v>49.548409999999997</v>
      </c>
      <c r="J711" s="2">
        <v>11.078249</v>
      </c>
      <c r="K711" s="2" t="str">
        <f t="shared" si="45"/>
        <v>Available</v>
      </c>
      <c r="L711" s="2" t="s">
        <v>10</v>
      </c>
      <c r="M711" s="3">
        <v>45423</v>
      </c>
      <c r="N711" s="3" t="str">
        <f t="shared" si="46"/>
        <v>May</v>
      </c>
      <c r="O711" s="2" t="s">
        <v>12</v>
      </c>
      <c r="P711" t="str">
        <f t="shared" si="47"/>
        <v>OK</v>
      </c>
    </row>
    <row r="712" spans="1:16" x14ac:dyDescent="0.3">
      <c r="A712" s="2">
        <f t="shared" si="44"/>
        <v>711</v>
      </c>
      <c r="B712" s="2" t="s">
        <v>30</v>
      </c>
      <c r="C712" s="2" t="s">
        <v>13</v>
      </c>
      <c r="D712" s="1">
        <v>0.8</v>
      </c>
      <c r="E712" s="1" t="str" cm="1">
        <f t="array" ref="E712">_xlfn.IFS(
D712&lt;20,"Light",
D712&lt;50,"Medium",
D712&lt;100,"Heavy",
D712&gt;=100,"Very Heavy")</f>
        <v>Light</v>
      </c>
      <c r="F712" s="2">
        <v>24</v>
      </c>
      <c r="G712" s="2" t="str" cm="1">
        <f t="array" ref="G712">_xlfn.IFS(
F712&lt;50,"Small",
F712&lt;100,"Medium",
F712&lt;150,"Large",
F712&gt;=150,"Very Large"
)</f>
        <v>Small</v>
      </c>
      <c r="H712" s="2" t="s">
        <v>33</v>
      </c>
      <c r="I712" s="2">
        <v>48.239628000000003</v>
      </c>
      <c r="J712" s="2">
        <v>17.087298000000001</v>
      </c>
      <c r="K712" s="2" t="str">
        <f t="shared" si="45"/>
        <v>Available</v>
      </c>
      <c r="L712" s="2" t="s">
        <v>10</v>
      </c>
      <c r="M712" s="3">
        <v>45423</v>
      </c>
      <c r="N712" s="3" t="str">
        <f t="shared" si="46"/>
        <v>May</v>
      </c>
      <c r="O712" s="2" t="s">
        <v>14</v>
      </c>
      <c r="P712" t="str">
        <f t="shared" si="47"/>
        <v>OK</v>
      </c>
    </row>
    <row r="713" spans="1:16" x14ac:dyDescent="0.3">
      <c r="A713" s="2">
        <f t="shared" si="44"/>
        <v>712</v>
      </c>
      <c r="B713" s="2" t="s">
        <v>30</v>
      </c>
      <c r="C713" s="2" t="s">
        <v>7</v>
      </c>
      <c r="D713" s="1">
        <v>1</v>
      </c>
      <c r="E713" s="1" t="str" cm="1">
        <f t="array" ref="E713">_xlfn.IFS(
D713&lt;20,"Light",
D713&lt;50,"Medium",
D713&lt;100,"Heavy",
D713&gt;=100,"Very Heavy")</f>
        <v>Light</v>
      </c>
      <c r="F713" s="2">
        <v>23</v>
      </c>
      <c r="G713" s="2" t="str" cm="1">
        <f t="array" ref="G713">_xlfn.IFS(
F713&lt;50,"Small",
F713&lt;100,"Medium",
F713&lt;150,"Large",
F713&gt;=150,"Very Large"
)</f>
        <v>Small</v>
      </c>
      <c r="H713" s="2" t="s">
        <v>33</v>
      </c>
      <c r="I713" s="2">
        <v>47.507376000000001</v>
      </c>
      <c r="J713" s="2">
        <v>18.939599999999999</v>
      </c>
      <c r="K713" s="2" t="str">
        <f t="shared" si="45"/>
        <v>Available</v>
      </c>
      <c r="L713" s="2" t="s">
        <v>10</v>
      </c>
      <c r="M713" s="3">
        <v>45424</v>
      </c>
      <c r="N713" s="3" t="str">
        <f t="shared" si="46"/>
        <v>May</v>
      </c>
      <c r="O713" s="2" t="s">
        <v>6</v>
      </c>
      <c r="P713" t="str">
        <f t="shared" si="47"/>
        <v>OK</v>
      </c>
    </row>
    <row r="714" spans="1:16" x14ac:dyDescent="0.3">
      <c r="A714" s="2">
        <f t="shared" si="44"/>
        <v>713</v>
      </c>
      <c r="B714" s="2" t="s">
        <v>29</v>
      </c>
      <c r="C714" s="2" t="s">
        <v>4</v>
      </c>
      <c r="D714" s="1">
        <v>0.26600000000000001</v>
      </c>
      <c r="E714" s="1" t="str" cm="1">
        <f t="array" ref="E714">_xlfn.IFS(
D714&lt;20,"Light",
D714&lt;50,"Medium",
D714&lt;100,"Heavy",
D714&gt;=100,"Very Heavy")</f>
        <v>Light</v>
      </c>
      <c r="F714" s="2">
        <v>20</v>
      </c>
      <c r="G714" s="2" t="str" cm="1">
        <f t="array" ref="G714">_xlfn.IFS(
F714&lt;50,"Small",
F714&lt;100,"Medium",
F714&lt;150,"Large",
F714&gt;=150,"Very Large"
)</f>
        <v>Small</v>
      </c>
      <c r="H714" s="2" t="s">
        <v>32</v>
      </c>
      <c r="I714" s="2">
        <v>52.212429</v>
      </c>
      <c r="J714" s="2">
        <v>21.032435</v>
      </c>
      <c r="K714" s="2" t="str">
        <f t="shared" si="45"/>
        <v>Available</v>
      </c>
      <c r="L714" s="2" t="s">
        <v>10</v>
      </c>
      <c r="M714" s="3">
        <v>45424</v>
      </c>
      <c r="N714" s="3" t="str">
        <f t="shared" si="46"/>
        <v>May</v>
      </c>
      <c r="O714" s="2" t="s">
        <v>6</v>
      </c>
      <c r="P714" t="str">
        <f t="shared" si="47"/>
        <v>OK</v>
      </c>
    </row>
    <row r="715" spans="1:16" x14ac:dyDescent="0.3">
      <c r="A715" s="2">
        <f t="shared" si="44"/>
        <v>714</v>
      </c>
      <c r="B715" s="2" t="s">
        <v>30</v>
      </c>
      <c r="C715" s="2" t="s">
        <v>13</v>
      </c>
      <c r="D715" s="1">
        <v>0.5</v>
      </c>
      <c r="E715" s="1" t="str" cm="1">
        <f t="array" ref="E715">_xlfn.IFS(
D715&lt;20,"Light",
D715&lt;50,"Medium",
D715&lt;100,"Heavy",
D715&gt;=100,"Very Heavy")</f>
        <v>Light</v>
      </c>
      <c r="F715" s="2">
        <v>19</v>
      </c>
      <c r="G715" s="2" t="str" cm="1">
        <f t="array" ref="G715">_xlfn.IFS(
F715&lt;50,"Small",
F715&lt;100,"Medium",
F715&lt;150,"Large",
F715&gt;=150,"Very Large"
)</f>
        <v>Small</v>
      </c>
      <c r="H715" s="2" t="s">
        <v>32</v>
      </c>
      <c r="I715" s="2">
        <v>48.231938999999997</v>
      </c>
      <c r="J715" s="2">
        <v>17.087688</v>
      </c>
      <c r="K715" s="2" t="str">
        <f t="shared" si="45"/>
        <v>Available</v>
      </c>
      <c r="L715" s="2" t="s">
        <v>10</v>
      </c>
      <c r="M715" s="3">
        <v>45424</v>
      </c>
      <c r="N715" s="3" t="str">
        <f t="shared" si="46"/>
        <v>May</v>
      </c>
      <c r="O715" s="2" t="s">
        <v>14</v>
      </c>
      <c r="P715" t="str">
        <f t="shared" si="47"/>
        <v>OK</v>
      </c>
    </row>
    <row r="716" spans="1:16" x14ac:dyDescent="0.3">
      <c r="A716" s="2">
        <f t="shared" si="44"/>
        <v>715</v>
      </c>
      <c r="B716" s="2" t="s">
        <v>29</v>
      </c>
      <c r="C716" s="2" t="s">
        <v>4</v>
      </c>
      <c r="D716" s="1">
        <v>0.26600000000000001</v>
      </c>
      <c r="E716" s="1" t="str" cm="1">
        <f t="array" ref="E716">_xlfn.IFS(
D716&lt;20,"Light",
D716&lt;50,"Medium",
D716&lt;100,"Heavy",
D716&gt;=100,"Very Heavy")</f>
        <v>Light</v>
      </c>
      <c r="F716" s="2">
        <v>21</v>
      </c>
      <c r="G716" s="2" t="str" cm="1">
        <f t="array" ref="G716">_xlfn.IFS(
F716&lt;50,"Small",
F716&lt;100,"Medium",
F716&lt;150,"Large",
F716&gt;=150,"Very Large"
)</f>
        <v>Small</v>
      </c>
      <c r="H716" s="2" t="s">
        <v>33</v>
      </c>
      <c r="I716" s="2">
        <v>52.21284</v>
      </c>
      <c r="J716" s="2">
        <v>21.034376999999999</v>
      </c>
      <c r="K716" s="2" t="str">
        <f t="shared" si="45"/>
        <v>Available</v>
      </c>
      <c r="L716" s="2" t="s">
        <v>10</v>
      </c>
      <c r="M716" s="3">
        <v>45425</v>
      </c>
      <c r="N716" s="3" t="str">
        <f t="shared" si="46"/>
        <v>May</v>
      </c>
      <c r="O716" s="2" t="s">
        <v>6</v>
      </c>
      <c r="P716" t="str">
        <f t="shared" si="47"/>
        <v>OK</v>
      </c>
    </row>
    <row r="717" spans="1:16" x14ac:dyDescent="0.3">
      <c r="A717" s="2">
        <f t="shared" si="44"/>
        <v>716</v>
      </c>
      <c r="B717" s="2" t="s">
        <v>29</v>
      </c>
      <c r="C717" s="2" t="s">
        <v>4</v>
      </c>
      <c r="D717" s="1">
        <v>0.317</v>
      </c>
      <c r="E717" s="1" t="str" cm="1">
        <f t="array" ref="E717">_xlfn.IFS(
D717&lt;20,"Light",
D717&lt;50,"Medium",
D717&lt;100,"Heavy",
D717&gt;=100,"Very Heavy")</f>
        <v>Light</v>
      </c>
      <c r="F717" s="2">
        <v>20</v>
      </c>
      <c r="G717" s="2" t="str" cm="1">
        <f t="array" ref="G717">_xlfn.IFS(
F717&lt;50,"Small",
F717&lt;100,"Medium",
F717&lt;150,"Large",
F717&gt;=150,"Very Large"
)</f>
        <v>Small</v>
      </c>
      <c r="H717" s="2" t="s">
        <v>33</v>
      </c>
      <c r="I717" s="2">
        <v>52.212162999999997</v>
      </c>
      <c r="J717" s="2">
        <v>21.032633000000001</v>
      </c>
      <c r="K717" s="2" t="str">
        <f t="shared" si="45"/>
        <v>Available</v>
      </c>
      <c r="L717" s="2" t="s">
        <v>10</v>
      </c>
      <c r="M717" s="3">
        <v>45425</v>
      </c>
      <c r="N717" s="3" t="str">
        <f t="shared" si="46"/>
        <v>May</v>
      </c>
      <c r="O717" s="2" t="s">
        <v>6</v>
      </c>
      <c r="P717" t="str">
        <f t="shared" si="47"/>
        <v>OK</v>
      </c>
    </row>
    <row r="718" spans="1:16" x14ac:dyDescent="0.3">
      <c r="A718" s="2">
        <f t="shared" si="44"/>
        <v>717</v>
      </c>
      <c r="B718" s="2" t="s">
        <v>30</v>
      </c>
      <c r="C718" s="2" t="s">
        <v>13</v>
      </c>
      <c r="D718" s="1">
        <v>1</v>
      </c>
      <c r="E718" s="1" t="str" cm="1">
        <f t="array" ref="E718">_xlfn.IFS(
D718&lt;20,"Light",
D718&lt;50,"Medium",
D718&lt;100,"Heavy",
D718&gt;=100,"Very Heavy")</f>
        <v>Light</v>
      </c>
      <c r="F718" s="2">
        <v>18</v>
      </c>
      <c r="G718" s="2" t="str" cm="1">
        <f t="array" ref="G718">_xlfn.IFS(
F718&lt;50,"Small",
F718&lt;100,"Medium",
F718&lt;150,"Large",
F718&gt;=150,"Very Large"
)</f>
        <v>Small</v>
      </c>
      <c r="H718" s="2" t="s">
        <v>32</v>
      </c>
      <c r="I718" s="2">
        <v>48.225014000000002</v>
      </c>
      <c r="J718" s="2">
        <v>17.081448999999999</v>
      </c>
      <c r="K718" s="2" t="str">
        <f t="shared" si="45"/>
        <v>Available</v>
      </c>
      <c r="L718" s="2" t="s">
        <v>10</v>
      </c>
      <c r="M718" s="3">
        <v>45425</v>
      </c>
      <c r="N718" s="3" t="str">
        <f t="shared" si="46"/>
        <v>May</v>
      </c>
      <c r="O718" s="2" t="s">
        <v>14</v>
      </c>
      <c r="P718" t="str">
        <f t="shared" si="47"/>
        <v>OK</v>
      </c>
    </row>
    <row r="719" spans="1:16" x14ac:dyDescent="0.3">
      <c r="A719" s="2">
        <f t="shared" si="44"/>
        <v>718</v>
      </c>
      <c r="B719" s="2" t="s">
        <v>30</v>
      </c>
      <c r="C719" s="2" t="s">
        <v>7</v>
      </c>
      <c r="D719" s="1">
        <v>0.6</v>
      </c>
      <c r="E719" s="1" t="str" cm="1">
        <f t="array" ref="E719">_xlfn.IFS(
D719&lt;20,"Light",
D719&lt;50,"Medium",
D719&lt;100,"Heavy",
D719&gt;=100,"Very Heavy")</f>
        <v>Light</v>
      </c>
      <c r="F719" s="2">
        <v>17</v>
      </c>
      <c r="G719" s="2" t="str" cm="1">
        <f t="array" ref="G719">_xlfn.IFS(
F719&lt;50,"Small",
F719&lt;100,"Medium",
F719&lt;150,"Large",
F719&gt;=150,"Very Large"
)</f>
        <v>Small</v>
      </c>
      <c r="H719" s="2" t="s">
        <v>33</v>
      </c>
      <c r="I719" s="2">
        <v>47.506310999999997</v>
      </c>
      <c r="J719" s="2">
        <v>18.947371</v>
      </c>
      <c r="K719" s="2" t="str">
        <f t="shared" si="45"/>
        <v>Available</v>
      </c>
      <c r="L719" s="2" t="s">
        <v>10</v>
      </c>
      <c r="M719" s="3">
        <v>45426</v>
      </c>
      <c r="N719" s="3" t="str">
        <f t="shared" si="46"/>
        <v>May</v>
      </c>
      <c r="O719" s="2" t="s">
        <v>6</v>
      </c>
      <c r="P719" t="str">
        <f t="shared" si="47"/>
        <v>OK</v>
      </c>
    </row>
    <row r="720" spans="1:16" x14ac:dyDescent="0.3">
      <c r="A720" s="2">
        <f t="shared" si="44"/>
        <v>719</v>
      </c>
      <c r="B720" s="2" t="s">
        <v>29</v>
      </c>
      <c r="C720" s="2" t="s">
        <v>4</v>
      </c>
      <c r="D720" s="1">
        <v>0.27</v>
      </c>
      <c r="E720" s="1" t="str" cm="1">
        <f t="array" ref="E720">_xlfn.IFS(
D720&lt;20,"Light",
D720&lt;50,"Medium",
D720&lt;100,"Heavy",
D720&gt;=100,"Very Heavy")</f>
        <v>Light</v>
      </c>
      <c r="F720" s="2">
        <v>23</v>
      </c>
      <c r="G720" s="2" t="str" cm="1">
        <f t="array" ref="G720">_xlfn.IFS(
F720&lt;50,"Small",
F720&lt;100,"Medium",
F720&lt;150,"Large",
F720&gt;=150,"Very Large"
)</f>
        <v>Small</v>
      </c>
      <c r="H720" s="2" t="s">
        <v>33</v>
      </c>
      <c r="I720" s="2">
        <v>52.212553</v>
      </c>
      <c r="J720" s="2">
        <v>21.032768000000001</v>
      </c>
      <c r="K720" s="2" t="str">
        <f t="shared" si="45"/>
        <v>Available</v>
      </c>
      <c r="L720" s="2" t="s">
        <v>10</v>
      </c>
      <c r="M720" s="3">
        <v>45426</v>
      </c>
      <c r="N720" s="3" t="str">
        <f t="shared" si="46"/>
        <v>May</v>
      </c>
      <c r="O720" s="2" t="s">
        <v>6</v>
      </c>
      <c r="P720" t="str">
        <f t="shared" si="47"/>
        <v>OK</v>
      </c>
    </row>
    <row r="721" spans="1:16" x14ac:dyDescent="0.3">
      <c r="A721" s="2">
        <f t="shared" si="44"/>
        <v>720</v>
      </c>
      <c r="B721" s="2" t="s">
        <v>30</v>
      </c>
      <c r="C721" s="2" t="s">
        <v>13</v>
      </c>
      <c r="D721" s="1">
        <v>0.7</v>
      </c>
      <c r="E721" s="1" t="str" cm="1">
        <f t="array" ref="E721">_xlfn.IFS(
D721&lt;20,"Light",
D721&lt;50,"Medium",
D721&lt;100,"Heavy",
D721&gt;=100,"Very Heavy")</f>
        <v>Light</v>
      </c>
      <c r="F721" s="2">
        <v>22</v>
      </c>
      <c r="G721" s="2" t="str" cm="1">
        <f t="array" ref="G721">_xlfn.IFS(
F721&lt;50,"Small",
F721&lt;100,"Medium",
F721&lt;150,"Large",
F721&gt;=150,"Very Large"
)</f>
        <v>Small</v>
      </c>
      <c r="H721" s="2" t="s">
        <v>33</v>
      </c>
      <c r="I721" s="2">
        <v>48.225116</v>
      </c>
      <c r="J721" s="2">
        <v>17.086407999999999</v>
      </c>
      <c r="K721" s="2" t="str">
        <f t="shared" si="45"/>
        <v>Available</v>
      </c>
      <c r="L721" s="2" t="s">
        <v>10</v>
      </c>
      <c r="M721" s="3">
        <v>45426</v>
      </c>
      <c r="N721" s="3" t="str">
        <f t="shared" si="46"/>
        <v>May</v>
      </c>
      <c r="O721" s="2" t="s">
        <v>14</v>
      </c>
      <c r="P721" t="str">
        <f t="shared" si="47"/>
        <v>OK</v>
      </c>
    </row>
    <row r="722" spans="1:16" x14ac:dyDescent="0.3">
      <c r="A722" s="2">
        <f t="shared" si="44"/>
        <v>721</v>
      </c>
      <c r="B722" s="2" t="s">
        <v>29</v>
      </c>
      <c r="C722" s="2" t="s">
        <v>4</v>
      </c>
      <c r="D722" s="1">
        <v>0.27900000000000003</v>
      </c>
      <c r="E722" s="1" t="str" cm="1">
        <f t="array" ref="E722">_xlfn.IFS(
D722&lt;20,"Light",
D722&lt;50,"Medium",
D722&lt;100,"Heavy",
D722&gt;=100,"Very Heavy")</f>
        <v>Light</v>
      </c>
      <c r="F722" s="2">
        <v>22</v>
      </c>
      <c r="G722" s="2" t="str" cm="1">
        <f t="array" ref="G722">_xlfn.IFS(
F722&lt;50,"Small",
F722&lt;100,"Medium",
F722&lt;150,"Large",
F722&gt;=150,"Very Large"
)</f>
        <v>Small</v>
      </c>
      <c r="H722" s="2" t="s">
        <v>32</v>
      </c>
      <c r="I722" s="2">
        <v>52.212411000000003</v>
      </c>
      <c r="J722" s="2">
        <v>21.033173000000001</v>
      </c>
      <c r="K722" s="2" t="str">
        <f t="shared" si="45"/>
        <v>Available</v>
      </c>
      <c r="L722" s="2" t="s">
        <v>10</v>
      </c>
      <c r="M722" s="3">
        <v>45427</v>
      </c>
      <c r="N722" s="3" t="str">
        <f t="shared" si="46"/>
        <v>May</v>
      </c>
      <c r="O722" s="2" t="s">
        <v>6</v>
      </c>
      <c r="P722" t="str">
        <f t="shared" si="47"/>
        <v>OK</v>
      </c>
    </row>
    <row r="723" spans="1:16" x14ac:dyDescent="0.3">
      <c r="A723" s="2">
        <f t="shared" si="44"/>
        <v>722</v>
      </c>
      <c r="B723" s="2" t="s">
        <v>30</v>
      </c>
      <c r="C723" s="2" t="s">
        <v>7</v>
      </c>
      <c r="D723" s="1">
        <v>1</v>
      </c>
      <c r="E723" s="1" t="str" cm="1">
        <f t="array" ref="E723">_xlfn.IFS(
D723&lt;20,"Light",
D723&lt;50,"Medium",
D723&lt;100,"Heavy",
D723&gt;=100,"Very Heavy")</f>
        <v>Light</v>
      </c>
      <c r="F723" s="2">
        <v>18</v>
      </c>
      <c r="G723" s="2" t="str" cm="1">
        <f t="array" ref="G723">_xlfn.IFS(
F723&lt;50,"Small",
F723&lt;100,"Medium",
F723&lt;150,"Large",
F723&gt;=150,"Very Large"
)</f>
        <v>Small</v>
      </c>
      <c r="H723" s="2" t="s">
        <v>33</v>
      </c>
      <c r="I723" s="2">
        <v>47.507019</v>
      </c>
      <c r="J723" s="2">
        <v>18.944015</v>
      </c>
      <c r="K723" s="2" t="str">
        <f t="shared" si="45"/>
        <v>Available</v>
      </c>
      <c r="L723" s="2" t="s">
        <v>10</v>
      </c>
      <c r="M723" s="3">
        <v>45428</v>
      </c>
      <c r="N723" s="3" t="str">
        <f t="shared" si="46"/>
        <v>May</v>
      </c>
      <c r="O723" s="2" t="s">
        <v>6</v>
      </c>
      <c r="P723" t="str">
        <f t="shared" si="47"/>
        <v>OK</v>
      </c>
    </row>
    <row r="724" spans="1:16" x14ac:dyDescent="0.3">
      <c r="A724" s="2">
        <f t="shared" si="44"/>
        <v>723</v>
      </c>
      <c r="B724" s="2" t="s">
        <v>30</v>
      </c>
      <c r="C724" s="2" t="s">
        <v>13</v>
      </c>
      <c r="D724" s="1">
        <v>0.4</v>
      </c>
      <c r="E724" s="1" t="str" cm="1">
        <f t="array" ref="E724">_xlfn.IFS(
D724&lt;20,"Light",
D724&lt;50,"Medium",
D724&lt;100,"Heavy",
D724&gt;=100,"Very Heavy")</f>
        <v>Light</v>
      </c>
      <c r="F724" s="2">
        <v>13</v>
      </c>
      <c r="G724" s="2" t="str" cm="1">
        <f t="array" ref="G724">_xlfn.IFS(
F724&lt;50,"Small",
F724&lt;100,"Medium",
F724&lt;150,"Large",
F724&gt;=150,"Very Large"
)</f>
        <v>Small</v>
      </c>
      <c r="H724" s="2" t="s">
        <v>32</v>
      </c>
      <c r="I724" s="2">
        <v>48.237386000000001</v>
      </c>
      <c r="J724" s="2">
        <v>17.078351999999999</v>
      </c>
      <c r="K724" s="2" t="str">
        <f t="shared" si="45"/>
        <v>Available</v>
      </c>
      <c r="L724" s="2" t="s">
        <v>10</v>
      </c>
      <c r="M724" s="3">
        <v>45428</v>
      </c>
      <c r="N724" s="3" t="str">
        <f t="shared" si="46"/>
        <v>May</v>
      </c>
      <c r="O724" s="2" t="s">
        <v>14</v>
      </c>
      <c r="P724" t="str">
        <f t="shared" si="47"/>
        <v>OK</v>
      </c>
    </row>
    <row r="725" spans="1:16" x14ac:dyDescent="0.3">
      <c r="A725" s="2">
        <f t="shared" si="44"/>
        <v>724</v>
      </c>
      <c r="B725" s="2" t="s">
        <v>30</v>
      </c>
      <c r="C725" s="2" t="s">
        <v>7</v>
      </c>
      <c r="D725" s="1">
        <v>0.84565217391304304</v>
      </c>
      <c r="E725" s="1" t="str" cm="1">
        <f t="array" ref="E725">_xlfn.IFS(
D725&lt;20,"Light",
D725&lt;50,"Medium",
D725&lt;100,"Heavy",
D725&gt;=100,"Very Heavy")</f>
        <v>Light</v>
      </c>
      <c r="F725" s="2">
        <v>20.985294117647001</v>
      </c>
      <c r="G725" s="2" t="str" cm="1">
        <f t="array" ref="G725">_xlfn.IFS(
F725&lt;50,"Small",
F725&lt;100,"Medium",
F725&lt;150,"Large",
F725&gt;=150,"Very Large"
)</f>
        <v>Small</v>
      </c>
      <c r="H725" s="2" t="s">
        <v>32</v>
      </c>
      <c r="I725" s="2">
        <v>47.510077000000003</v>
      </c>
      <c r="J725" s="2">
        <v>18.945646</v>
      </c>
      <c r="K725" s="2" t="str">
        <f t="shared" si="45"/>
        <v>Available</v>
      </c>
      <c r="L725" s="2" t="s">
        <v>10</v>
      </c>
      <c r="M725" s="3">
        <v>45429</v>
      </c>
      <c r="N725" s="3" t="str">
        <f t="shared" si="46"/>
        <v>May</v>
      </c>
      <c r="O725" s="2" t="s">
        <v>6</v>
      </c>
      <c r="P725" t="str">
        <f t="shared" si="47"/>
        <v>OK</v>
      </c>
    </row>
    <row r="726" spans="1:16" x14ac:dyDescent="0.3">
      <c r="A726" s="2">
        <f t="shared" si="44"/>
        <v>725</v>
      </c>
      <c r="B726" s="2" t="s">
        <v>30</v>
      </c>
      <c r="C726" s="2" t="s">
        <v>7</v>
      </c>
      <c r="D726" s="1">
        <v>0.7</v>
      </c>
      <c r="E726" s="1" t="str" cm="1">
        <f t="array" ref="E726">_xlfn.IFS(
D726&lt;20,"Light",
D726&lt;50,"Medium",
D726&lt;100,"Heavy",
D726&gt;=100,"Very Heavy")</f>
        <v>Light</v>
      </c>
      <c r="F726" s="2">
        <v>11</v>
      </c>
      <c r="G726" s="2" t="str" cm="1">
        <f t="array" ref="G726">_xlfn.IFS(
F726&lt;50,"Small",
F726&lt;100,"Medium",
F726&lt;150,"Large",
F726&gt;=150,"Very Large"
)</f>
        <v>Small</v>
      </c>
      <c r="H726" s="2" t="s">
        <v>33</v>
      </c>
      <c r="I726" s="2">
        <v>47.507758000000003</v>
      </c>
      <c r="J726" s="2">
        <v>18.949223</v>
      </c>
      <c r="K726" s="2" t="str">
        <f t="shared" si="45"/>
        <v>Available</v>
      </c>
      <c r="L726" s="2" t="s">
        <v>10</v>
      </c>
      <c r="M726" s="3">
        <v>45429</v>
      </c>
      <c r="N726" s="3" t="str">
        <f t="shared" si="46"/>
        <v>May</v>
      </c>
      <c r="O726" s="2" t="s">
        <v>6</v>
      </c>
      <c r="P726" t="str">
        <f t="shared" si="47"/>
        <v>OK</v>
      </c>
    </row>
    <row r="727" spans="1:16" x14ac:dyDescent="0.3">
      <c r="A727" s="2">
        <f t="shared" si="44"/>
        <v>726</v>
      </c>
      <c r="B727" s="2" t="s">
        <v>29</v>
      </c>
      <c r="C727" s="2" t="s">
        <v>4</v>
      </c>
      <c r="D727" s="1">
        <v>0.28000000000000003</v>
      </c>
      <c r="E727" s="1" t="str" cm="1">
        <f t="array" ref="E727">_xlfn.IFS(
D727&lt;20,"Light",
D727&lt;50,"Medium",
D727&lt;100,"Heavy",
D727&gt;=100,"Very Heavy")</f>
        <v>Light</v>
      </c>
      <c r="F727" s="2">
        <v>19</v>
      </c>
      <c r="G727" s="2" t="str" cm="1">
        <f t="array" ref="G727">_xlfn.IFS(
F727&lt;50,"Small",
F727&lt;100,"Medium",
F727&lt;150,"Large",
F727&gt;=150,"Very Large"
)</f>
        <v>Small</v>
      </c>
      <c r="H727" s="2" t="s">
        <v>33</v>
      </c>
      <c r="I727" s="2">
        <v>52.212541999999999</v>
      </c>
      <c r="J727" s="2">
        <v>21.033829000000001</v>
      </c>
      <c r="K727" s="2" t="str">
        <f t="shared" si="45"/>
        <v>Available</v>
      </c>
      <c r="L727" s="2" t="s">
        <v>10</v>
      </c>
      <c r="M727" s="3">
        <v>45429</v>
      </c>
      <c r="N727" s="3" t="str">
        <f t="shared" si="46"/>
        <v>May</v>
      </c>
      <c r="O727" s="2" t="s">
        <v>6</v>
      </c>
      <c r="P727" t="str">
        <f t="shared" si="47"/>
        <v>OK</v>
      </c>
    </row>
    <row r="728" spans="1:16" x14ac:dyDescent="0.3">
      <c r="A728" s="2">
        <f t="shared" si="44"/>
        <v>727</v>
      </c>
      <c r="B728" s="2" t="s">
        <v>29</v>
      </c>
      <c r="C728" s="2" t="s">
        <v>4</v>
      </c>
      <c r="D728" s="1">
        <v>0.26</v>
      </c>
      <c r="E728" s="1" t="str" cm="1">
        <f t="array" ref="E728">_xlfn.IFS(
D728&lt;20,"Light",
D728&lt;50,"Medium",
D728&lt;100,"Heavy",
D728&gt;=100,"Very Heavy")</f>
        <v>Light</v>
      </c>
      <c r="F728" s="2">
        <v>19</v>
      </c>
      <c r="G728" s="2" t="str" cm="1">
        <f t="array" ref="G728">_xlfn.IFS(
F728&lt;50,"Small",
F728&lt;100,"Medium",
F728&lt;150,"Large",
F728&gt;=150,"Very Large"
)</f>
        <v>Small</v>
      </c>
      <c r="H728" s="2" t="s">
        <v>32</v>
      </c>
      <c r="I728" s="2">
        <v>52.212628000000002</v>
      </c>
      <c r="J728" s="2">
        <v>21.034493999999999</v>
      </c>
      <c r="K728" s="2" t="str">
        <f t="shared" si="45"/>
        <v>Available</v>
      </c>
      <c r="L728" s="2" t="s">
        <v>10</v>
      </c>
      <c r="M728" s="3">
        <v>45429</v>
      </c>
      <c r="N728" s="3" t="str">
        <f t="shared" si="46"/>
        <v>May</v>
      </c>
      <c r="O728" s="2" t="s">
        <v>6</v>
      </c>
      <c r="P728" t="str">
        <f t="shared" si="47"/>
        <v>OK</v>
      </c>
    </row>
    <row r="729" spans="1:16" x14ac:dyDescent="0.3">
      <c r="A729" s="2">
        <f t="shared" si="44"/>
        <v>728</v>
      </c>
      <c r="B729" s="2" t="s">
        <v>29</v>
      </c>
      <c r="C729" s="2" t="s">
        <v>4</v>
      </c>
      <c r="D729" s="1">
        <v>0.29399999999999998</v>
      </c>
      <c r="E729" s="1" t="str" cm="1">
        <f t="array" ref="E729">_xlfn.IFS(
D729&lt;20,"Light",
D729&lt;50,"Medium",
D729&lt;100,"Heavy",
D729&gt;=100,"Very Heavy")</f>
        <v>Light</v>
      </c>
      <c r="F729" s="2">
        <v>24</v>
      </c>
      <c r="G729" s="2" t="str" cm="1">
        <f t="array" ref="G729">_xlfn.IFS(
F729&lt;50,"Small",
F729&lt;100,"Medium",
F729&lt;150,"Large",
F729&gt;=150,"Very Large"
)</f>
        <v>Small</v>
      </c>
      <c r="H729" s="2" t="s">
        <v>33</v>
      </c>
      <c r="I729" s="2">
        <v>52.212940000000003</v>
      </c>
      <c r="J729" s="2">
        <v>21.034208</v>
      </c>
      <c r="K729" s="2" t="str">
        <f t="shared" si="45"/>
        <v>Available</v>
      </c>
      <c r="L729" s="2" t="s">
        <v>10</v>
      </c>
      <c r="M729" s="3">
        <v>45429</v>
      </c>
      <c r="N729" s="3" t="str">
        <f t="shared" si="46"/>
        <v>May</v>
      </c>
      <c r="O729" s="2" t="s">
        <v>6</v>
      </c>
      <c r="P729" t="str">
        <f t="shared" si="47"/>
        <v>OK</v>
      </c>
    </row>
    <row r="730" spans="1:16" x14ac:dyDescent="0.3">
      <c r="A730" s="2">
        <f t="shared" si="44"/>
        <v>729</v>
      </c>
      <c r="B730" s="2" t="s">
        <v>30</v>
      </c>
      <c r="C730" s="2" t="s">
        <v>13</v>
      </c>
      <c r="D730" s="1">
        <v>0.6</v>
      </c>
      <c r="E730" s="1" t="str" cm="1">
        <f t="array" ref="E730">_xlfn.IFS(
D730&lt;20,"Light",
D730&lt;50,"Medium",
D730&lt;100,"Heavy",
D730&gt;=100,"Very Heavy")</f>
        <v>Light</v>
      </c>
      <c r="F730" s="2">
        <v>20</v>
      </c>
      <c r="G730" s="2" t="str" cm="1">
        <f t="array" ref="G730">_xlfn.IFS(
F730&lt;50,"Small",
F730&lt;100,"Medium",
F730&lt;150,"Large",
F730&gt;=150,"Very Large"
)</f>
        <v>Small</v>
      </c>
      <c r="H730" s="2" t="s">
        <v>32</v>
      </c>
      <c r="I730" s="2">
        <v>48.235981000000002</v>
      </c>
      <c r="J730" s="2">
        <v>17.081697999999999</v>
      </c>
      <c r="K730" s="2" t="str">
        <f t="shared" si="45"/>
        <v>Available</v>
      </c>
      <c r="L730" s="2" t="s">
        <v>10</v>
      </c>
      <c r="M730" s="3">
        <v>45429</v>
      </c>
      <c r="N730" s="3" t="str">
        <f t="shared" si="46"/>
        <v>May</v>
      </c>
      <c r="O730" s="2" t="s">
        <v>14</v>
      </c>
      <c r="P730" t="str">
        <f t="shared" si="47"/>
        <v>OK</v>
      </c>
    </row>
    <row r="731" spans="1:16" x14ac:dyDescent="0.3">
      <c r="A731" s="2">
        <f t="shared" si="44"/>
        <v>730</v>
      </c>
      <c r="B731" s="2" t="s">
        <v>30</v>
      </c>
      <c r="C731" s="2" t="s">
        <v>13</v>
      </c>
      <c r="D731" s="1">
        <v>0.8</v>
      </c>
      <c r="E731" s="1" t="str" cm="1">
        <f t="array" ref="E731">_xlfn.IFS(
D731&lt;20,"Light",
D731&lt;50,"Medium",
D731&lt;100,"Heavy",
D731&gt;=100,"Very Heavy")</f>
        <v>Light</v>
      </c>
      <c r="F731" s="2">
        <v>16</v>
      </c>
      <c r="G731" s="2" t="str" cm="1">
        <f t="array" ref="G731">_xlfn.IFS(
F731&lt;50,"Small",
F731&lt;100,"Medium",
F731&lt;150,"Large",
F731&gt;=150,"Very Large"
)</f>
        <v>Small</v>
      </c>
      <c r="H731" s="2" t="s">
        <v>33</v>
      </c>
      <c r="I731" s="2">
        <v>48.234929999999999</v>
      </c>
      <c r="J731" s="2">
        <v>17.084813</v>
      </c>
      <c r="K731" s="2" t="str">
        <f t="shared" si="45"/>
        <v>Available</v>
      </c>
      <c r="L731" s="2" t="s">
        <v>10</v>
      </c>
      <c r="M731" s="3">
        <v>45429</v>
      </c>
      <c r="N731" s="3" t="str">
        <f t="shared" si="46"/>
        <v>May</v>
      </c>
      <c r="O731" s="2" t="s">
        <v>14</v>
      </c>
      <c r="P731" t="str">
        <f t="shared" si="47"/>
        <v>OK</v>
      </c>
    </row>
    <row r="732" spans="1:16" x14ac:dyDescent="0.3">
      <c r="A732" s="2">
        <f t="shared" si="44"/>
        <v>731</v>
      </c>
      <c r="B732" s="2" t="s">
        <v>28</v>
      </c>
      <c r="C732" s="2" t="s">
        <v>13</v>
      </c>
      <c r="D732" s="1">
        <v>18</v>
      </c>
      <c r="E732" s="1" t="str" cm="1">
        <f t="array" ref="E732">_xlfn.IFS(
D732&lt;20,"Light",
D732&lt;50,"Medium",
D732&lt;100,"Heavy",
D732&gt;=100,"Very Heavy")</f>
        <v>Light</v>
      </c>
      <c r="F732" s="2">
        <v>76</v>
      </c>
      <c r="G732" s="2" t="str" cm="1">
        <f t="array" ref="G732">_xlfn.IFS(
F732&lt;50,"Small",
F732&lt;100,"Medium",
F732&lt;150,"Large",
F732&gt;=150,"Very Large"
)</f>
        <v>Medium</v>
      </c>
      <c r="H732" s="2" t="s">
        <v>32</v>
      </c>
      <c r="I732" s="2">
        <v>48.412723999999997</v>
      </c>
      <c r="J732" s="2">
        <v>18.868877999999999</v>
      </c>
      <c r="K732" s="2" t="str">
        <f t="shared" si="45"/>
        <v>Available</v>
      </c>
      <c r="L732" s="2" t="s">
        <v>10</v>
      </c>
      <c r="M732" s="3">
        <v>45429</v>
      </c>
      <c r="N732" s="3" t="str">
        <f t="shared" si="46"/>
        <v>May</v>
      </c>
      <c r="O732" s="2" t="s">
        <v>14</v>
      </c>
      <c r="P732" t="str">
        <f t="shared" si="47"/>
        <v>OK</v>
      </c>
    </row>
    <row r="733" spans="1:16" x14ac:dyDescent="0.3">
      <c r="A733" s="2">
        <f t="shared" si="44"/>
        <v>732</v>
      </c>
      <c r="B733" s="2" t="s">
        <v>29</v>
      </c>
      <c r="C733" s="2" t="s">
        <v>4</v>
      </c>
      <c r="D733" s="1">
        <v>0.30599999999999999</v>
      </c>
      <c r="E733" s="1" t="str" cm="1">
        <f t="array" ref="E733">_xlfn.IFS(
D733&lt;20,"Light",
D733&lt;50,"Medium",
D733&lt;100,"Heavy",
D733&gt;=100,"Very Heavy")</f>
        <v>Light</v>
      </c>
      <c r="F733" s="2">
        <v>21</v>
      </c>
      <c r="G733" s="2" t="str" cm="1">
        <f t="array" ref="G733">_xlfn.IFS(
F733&lt;50,"Small",
F733&lt;100,"Medium",
F733&lt;150,"Large",
F733&gt;=150,"Very Large"
)</f>
        <v>Small</v>
      </c>
      <c r="H733" s="2" t="s">
        <v>32</v>
      </c>
      <c r="I733" s="2">
        <v>52.211896000000003</v>
      </c>
      <c r="J733" s="2">
        <v>21.033805999999998</v>
      </c>
      <c r="K733" s="2" t="str">
        <f t="shared" si="45"/>
        <v>Available</v>
      </c>
      <c r="L733" s="2" t="s">
        <v>10</v>
      </c>
      <c r="M733" s="3">
        <v>45430</v>
      </c>
      <c r="N733" s="3" t="str">
        <f t="shared" si="46"/>
        <v>May</v>
      </c>
      <c r="O733" s="2" t="s">
        <v>6</v>
      </c>
      <c r="P733" t="str">
        <f t="shared" si="47"/>
        <v>OK</v>
      </c>
    </row>
    <row r="734" spans="1:16" x14ac:dyDescent="0.3">
      <c r="A734" s="2">
        <f t="shared" si="44"/>
        <v>733</v>
      </c>
      <c r="B734" s="2" t="s">
        <v>29</v>
      </c>
      <c r="C734" s="2" t="s">
        <v>4</v>
      </c>
      <c r="D734" s="1">
        <v>0.27700000000000002</v>
      </c>
      <c r="E734" s="1" t="str" cm="1">
        <f t="array" ref="E734">_xlfn.IFS(
D734&lt;20,"Light",
D734&lt;50,"Medium",
D734&lt;100,"Heavy",
D734&gt;=100,"Very Heavy")</f>
        <v>Light</v>
      </c>
      <c r="F734" s="2">
        <v>22</v>
      </c>
      <c r="G734" s="2" t="str" cm="1">
        <f t="array" ref="G734">_xlfn.IFS(
F734&lt;50,"Small",
F734&lt;100,"Medium",
F734&lt;150,"Large",
F734&gt;=150,"Very Large"
)</f>
        <v>Small</v>
      </c>
      <c r="H734" s="2" t="s">
        <v>32</v>
      </c>
      <c r="I734" s="2">
        <v>52.211924000000003</v>
      </c>
      <c r="J734" s="2">
        <v>21.033242999999999</v>
      </c>
      <c r="K734" s="2" t="str">
        <f t="shared" si="45"/>
        <v>Available</v>
      </c>
      <c r="L734" s="2" t="s">
        <v>10</v>
      </c>
      <c r="M734" s="3">
        <v>45430</v>
      </c>
      <c r="N734" s="3" t="str">
        <f t="shared" si="46"/>
        <v>May</v>
      </c>
      <c r="O734" s="2" t="s">
        <v>6</v>
      </c>
      <c r="P734" t="str">
        <f t="shared" si="47"/>
        <v>OK</v>
      </c>
    </row>
    <row r="735" spans="1:16" x14ac:dyDescent="0.3">
      <c r="A735" s="2">
        <f t="shared" si="44"/>
        <v>734</v>
      </c>
      <c r="B735" s="2" t="s">
        <v>30</v>
      </c>
      <c r="C735" s="2" t="s">
        <v>7</v>
      </c>
      <c r="D735" s="1">
        <v>1.1000000000000001</v>
      </c>
      <c r="E735" s="1" t="str" cm="1">
        <f t="array" ref="E735">_xlfn.IFS(
D735&lt;20,"Light",
D735&lt;50,"Medium",
D735&lt;100,"Heavy",
D735&gt;=100,"Very Heavy")</f>
        <v>Light</v>
      </c>
      <c r="F735" s="2">
        <v>22</v>
      </c>
      <c r="G735" s="2" t="str" cm="1">
        <f t="array" ref="G735">_xlfn.IFS(
F735&lt;50,"Small",
F735&lt;100,"Medium",
F735&lt;150,"Large",
F735&gt;=150,"Very Large"
)</f>
        <v>Small</v>
      </c>
      <c r="H735" s="2" t="s">
        <v>33</v>
      </c>
      <c r="I735" s="2">
        <v>47.510584000000001</v>
      </c>
      <c r="J735" s="2">
        <v>18.94173</v>
      </c>
      <c r="K735" s="2" t="str">
        <f t="shared" si="45"/>
        <v>Available</v>
      </c>
      <c r="L735" s="2" t="s">
        <v>10</v>
      </c>
      <c r="M735" s="3">
        <v>45431</v>
      </c>
      <c r="N735" s="3" t="str">
        <f t="shared" si="46"/>
        <v>May</v>
      </c>
      <c r="O735" s="2" t="s">
        <v>6</v>
      </c>
      <c r="P735" t="str">
        <f t="shared" si="47"/>
        <v>OK</v>
      </c>
    </row>
    <row r="736" spans="1:16" x14ac:dyDescent="0.3">
      <c r="A736" s="2">
        <f t="shared" si="44"/>
        <v>735</v>
      </c>
      <c r="B736" s="2" t="s">
        <v>30</v>
      </c>
      <c r="C736" s="2" t="s">
        <v>13</v>
      </c>
      <c r="D736" s="1">
        <v>0.6</v>
      </c>
      <c r="E736" s="1" t="str" cm="1">
        <f t="array" ref="E736">_xlfn.IFS(
D736&lt;20,"Light",
D736&lt;50,"Medium",
D736&lt;100,"Heavy",
D736&gt;=100,"Very Heavy")</f>
        <v>Light</v>
      </c>
      <c r="F736" s="2">
        <v>19</v>
      </c>
      <c r="G736" s="2" t="str" cm="1">
        <f t="array" ref="G736">_xlfn.IFS(
F736&lt;50,"Small",
F736&lt;100,"Medium",
F736&lt;150,"Large",
F736&gt;=150,"Very Large"
)</f>
        <v>Small</v>
      </c>
      <c r="H736" s="2" t="s">
        <v>33</v>
      </c>
      <c r="I736" s="2">
        <v>48.236604999999997</v>
      </c>
      <c r="J736" s="2">
        <v>17.071494999999999</v>
      </c>
      <c r="K736" s="2" t="str">
        <f t="shared" si="45"/>
        <v>Available</v>
      </c>
      <c r="L736" s="2" t="s">
        <v>10</v>
      </c>
      <c r="M736" s="3">
        <v>45431</v>
      </c>
      <c r="N736" s="3" t="str">
        <f t="shared" si="46"/>
        <v>May</v>
      </c>
      <c r="O736" s="2" t="s">
        <v>14</v>
      </c>
      <c r="P736" t="str">
        <f t="shared" si="47"/>
        <v>OK</v>
      </c>
    </row>
    <row r="737" spans="1:16" x14ac:dyDescent="0.3">
      <c r="A737" s="2">
        <f t="shared" si="44"/>
        <v>736</v>
      </c>
      <c r="B737" s="2" t="s">
        <v>28</v>
      </c>
      <c r="C737" s="2" t="s">
        <v>13</v>
      </c>
      <c r="D737" s="1">
        <v>22</v>
      </c>
      <c r="E737" s="1" t="str" cm="1">
        <f t="array" ref="E737">_xlfn.IFS(
D737&lt;20,"Light",
D737&lt;50,"Medium",
D737&lt;100,"Heavy",
D737&gt;=100,"Very Heavy")</f>
        <v>Medium</v>
      </c>
      <c r="F737" s="2">
        <v>85</v>
      </c>
      <c r="G737" s="2" t="str" cm="1">
        <f t="array" ref="G737">_xlfn.IFS(
F737&lt;50,"Small",
F737&lt;100,"Medium",
F737&lt;150,"Large",
F737&gt;=150,"Very Large"
)</f>
        <v>Medium</v>
      </c>
      <c r="H737" s="2" t="s">
        <v>32</v>
      </c>
      <c r="I737" s="2">
        <v>48.411436000000002</v>
      </c>
      <c r="J737" s="2">
        <v>18.86478</v>
      </c>
      <c r="K737" s="2" t="str">
        <f t="shared" si="45"/>
        <v>Available</v>
      </c>
      <c r="L737" s="2" t="s">
        <v>10</v>
      </c>
      <c r="M737" s="3">
        <v>45431</v>
      </c>
      <c r="N737" s="3" t="str">
        <f t="shared" si="46"/>
        <v>May</v>
      </c>
      <c r="O737" s="2" t="s">
        <v>14</v>
      </c>
      <c r="P737" t="str">
        <f t="shared" si="47"/>
        <v>OK</v>
      </c>
    </row>
    <row r="738" spans="1:16" x14ac:dyDescent="0.3">
      <c r="A738" s="2">
        <f t="shared" si="44"/>
        <v>737</v>
      </c>
      <c r="B738" s="2" t="s">
        <v>29</v>
      </c>
      <c r="C738" s="2" t="s">
        <v>4</v>
      </c>
      <c r="D738" s="1">
        <v>0.34100000000000003</v>
      </c>
      <c r="E738" s="1" t="str" cm="1">
        <f t="array" ref="E738">_xlfn.IFS(
D738&lt;20,"Light",
D738&lt;50,"Medium",
D738&lt;100,"Heavy",
D738&gt;=100,"Very Heavy")</f>
        <v>Light</v>
      </c>
      <c r="F738" s="2">
        <v>21</v>
      </c>
      <c r="G738" s="2" t="str" cm="1">
        <f t="array" ref="G738">_xlfn.IFS(
F738&lt;50,"Small",
F738&lt;100,"Medium",
F738&lt;150,"Large",
F738&gt;=150,"Very Large"
)</f>
        <v>Small</v>
      </c>
      <c r="H738" s="2" t="s">
        <v>33</v>
      </c>
      <c r="I738" s="2">
        <v>52.212294999999997</v>
      </c>
      <c r="J738" s="2">
        <v>21.034039</v>
      </c>
      <c r="K738" s="2" t="str">
        <f t="shared" si="45"/>
        <v>Available</v>
      </c>
      <c r="L738" s="2" t="s">
        <v>10</v>
      </c>
      <c r="M738" s="3">
        <v>45432</v>
      </c>
      <c r="N738" s="3" t="str">
        <f t="shared" si="46"/>
        <v>May</v>
      </c>
      <c r="O738" s="2" t="s">
        <v>6</v>
      </c>
      <c r="P738" t="str">
        <f t="shared" si="47"/>
        <v>OK</v>
      </c>
    </row>
    <row r="739" spans="1:16" x14ac:dyDescent="0.3">
      <c r="A739" s="2">
        <f t="shared" si="44"/>
        <v>738</v>
      </c>
      <c r="B739" s="2" t="s">
        <v>29</v>
      </c>
      <c r="C739" s="2" t="s">
        <v>4</v>
      </c>
      <c r="D739" s="1">
        <v>0.33800000000000002</v>
      </c>
      <c r="E739" s="1" t="str" cm="1">
        <f t="array" ref="E739">_xlfn.IFS(
D739&lt;20,"Light",
D739&lt;50,"Medium",
D739&lt;100,"Heavy",
D739&gt;=100,"Very Heavy")</f>
        <v>Light</v>
      </c>
      <c r="F739" s="2">
        <v>22</v>
      </c>
      <c r="G739" s="2" t="str" cm="1">
        <f t="array" ref="G739">_xlfn.IFS(
F739&lt;50,"Small",
F739&lt;100,"Medium",
F739&lt;150,"Large",
F739&gt;=150,"Very Large"
)</f>
        <v>Small</v>
      </c>
      <c r="H739" s="2" t="s">
        <v>33</v>
      </c>
      <c r="I739" s="2">
        <v>52.212915000000002</v>
      </c>
      <c r="J739" s="2">
        <v>21.033225999999999</v>
      </c>
      <c r="K739" s="2" t="str">
        <f t="shared" si="45"/>
        <v>Available</v>
      </c>
      <c r="L739" s="2" t="s">
        <v>10</v>
      </c>
      <c r="M739" s="3">
        <v>45433</v>
      </c>
      <c r="N739" s="3" t="str">
        <f t="shared" si="46"/>
        <v>May</v>
      </c>
      <c r="O739" s="2" t="s">
        <v>6</v>
      </c>
      <c r="P739" t="str">
        <f t="shared" si="47"/>
        <v>OK</v>
      </c>
    </row>
    <row r="740" spans="1:16" x14ac:dyDescent="0.3">
      <c r="A740" s="2">
        <f t="shared" si="44"/>
        <v>739</v>
      </c>
      <c r="B740" s="2" t="s">
        <v>29</v>
      </c>
      <c r="C740" s="2" t="s">
        <v>4</v>
      </c>
      <c r="D740" s="1">
        <v>0.311</v>
      </c>
      <c r="E740" s="1" t="str" cm="1">
        <f t="array" ref="E740">_xlfn.IFS(
D740&lt;20,"Light",
D740&lt;50,"Medium",
D740&lt;100,"Heavy",
D740&gt;=100,"Very Heavy")</f>
        <v>Light</v>
      </c>
      <c r="F740" s="2">
        <v>19</v>
      </c>
      <c r="G740" s="2" t="str" cm="1">
        <f t="array" ref="G740">_xlfn.IFS(
F740&lt;50,"Small",
F740&lt;100,"Medium",
F740&lt;150,"Large",
F740&gt;=150,"Very Large"
)</f>
        <v>Small</v>
      </c>
      <c r="H740" s="2" t="s">
        <v>33</v>
      </c>
      <c r="I740" s="2">
        <v>52.212600999999999</v>
      </c>
      <c r="J740" s="2">
        <v>21.032613000000001</v>
      </c>
      <c r="K740" s="2" t="str">
        <f t="shared" si="45"/>
        <v>Available</v>
      </c>
      <c r="L740" s="2" t="s">
        <v>10</v>
      </c>
      <c r="M740" s="3">
        <v>45433</v>
      </c>
      <c r="N740" s="3" t="str">
        <f t="shared" si="46"/>
        <v>May</v>
      </c>
      <c r="O740" s="2" t="s">
        <v>6</v>
      </c>
      <c r="P740" t="str">
        <f t="shared" si="47"/>
        <v>OK</v>
      </c>
    </row>
    <row r="741" spans="1:16" x14ac:dyDescent="0.3">
      <c r="A741" s="2">
        <f t="shared" si="44"/>
        <v>740</v>
      </c>
      <c r="B741" s="2" t="s">
        <v>30</v>
      </c>
      <c r="C741" s="2" t="s">
        <v>13</v>
      </c>
      <c r="D741" s="1">
        <v>1.2</v>
      </c>
      <c r="E741" s="1" t="str" cm="1">
        <f t="array" ref="E741">_xlfn.IFS(
D741&lt;20,"Light",
D741&lt;50,"Medium",
D741&lt;100,"Heavy",
D741&gt;=100,"Very Heavy")</f>
        <v>Light</v>
      </c>
      <c r="F741" s="2">
        <v>25</v>
      </c>
      <c r="G741" s="2" t="str" cm="1">
        <f t="array" ref="G741">_xlfn.IFS(
F741&lt;50,"Small",
F741&lt;100,"Medium",
F741&lt;150,"Large",
F741&gt;=150,"Very Large"
)</f>
        <v>Small</v>
      </c>
      <c r="H741" s="2" t="s">
        <v>32</v>
      </c>
      <c r="I741" s="2">
        <v>48.231496999999997</v>
      </c>
      <c r="J741" s="2">
        <v>17.073128000000001</v>
      </c>
      <c r="K741" s="2" t="str">
        <f t="shared" si="45"/>
        <v>Available</v>
      </c>
      <c r="L741" s="2" t="s">
        <v>10</v>
      </c>
      <c r="M741" s="3">
        <v>45433</v>
      </c>
      <c r="N741" s="3" t="str">
        <f t="shared" si="46"/>
        <v>May</v>
      </c>
      <c r="O741" s="2" t="s">
        <v>14</v>
      </c>
      <c r="P741" t="str">
        <f t="shared" si="47"/>
        <v>OK</v>
      </c>
    </row>
    <row r="742" spans="1:16" x14ac:dyDescent="0.3">
      <c r="A742" s="2">
        <f t="shared" si="44"/>
        <v>741</v>
      </c>
      <c r="B742" s="2" t="s">
        <v>30</v>
      </c>
      <c r="C742" s="2" t="s">
        <v>13</v>
      </c>
      <c r="D742" s="1">
        <v>0.4</v>
      </c>
      <c r="E742" s="1" t="str" cm="1">
        <f t="array" ref="E742">_xlfn.IFS(
D742&lt;20,"Light",
D742&lt;50,"Medium",
D742&lt;100,"Heavy",
D742&gt;=100,"Very Heavy")</f>
        <v>Light</v>
      </c>
      <c r="F742" s="2">
        <v>16</v>
      </c>
      <c r="G742" s="2" t="str" cm="1">
        <f t="array" ref="G742">_xlfn.IFS(
F742&lt;50,"Small",
F742&lt;100,"Medium",
F742&lt;150,"Large",
F742&gt;=150,"Very Large"
)</f>
        <v>Small</v>
      </c>
      <c r="H742" s="2" t="s">
        <v>33</v>
      </c>
      <c r="I742" s="2">
        <v>48.238633999999998</v>
      </c>
      <c r="J742" s="2">
        <v>17.074895000000001</v>
      </c>
      <c r="K742" s="2" t="str">
        <f t="shared" si="45"/>
        <v>Available</v>
      </c>
      <c r="L742" s="2" t="s">
        <v>10</v>
      </c>
      <c r="M742" s="3">
        <v>45433</v>
      </c>
      <c r="N742" s="3" t="str">
        <f t="shared" si="46"/>
        <v>May</v>
      </c>
      <c r="O742" s="2" t="s">
        <v>14</v>
      </c>
      <c r="P742" t="str">
        <f t="shared" si="47"/>
        <v>OK</v>
      </c>
    </row>
    <row r="743" spans="1:16" x14ac:dyDescent="0.3">
      <c r="A743" s="2">
        <f t="shared" si="44"/>
        <v>742</v>
      </c>
      <c r="B743" s="2" t="s">
        <v>29</v>
      </c>
      <c r="C743" s="2" t="s">
        <v>4</v>
      </c>
      <c r="D743" s="1">
        <v>0.308</v>
      </c>
      <c r="E743" s="1" t="str" cm="1">
        <f t="array" ref="E743">_xlfn.IFS(
D743&lt;20,"Light",
D743&lt;50,"Medium",
D743&lt;100,"Heavy",
D743&gt;=100,"Very Heavy")</f>
        <v>Light</v>
      </c>
      <c r="F743" s="2">
        <v>23</v>
      </c>
      <c r="G743" s="2" t="str" cm="1">
        <f t="array" ref="G743">_xlfn.IFS(
F743&lt;50,"Small",
F743&lt;100,"Medium",
F743&lt;150,"Large",
F743&gt;=150,"Very Large"
)</f>
        <v>Small</v>
      </c>
      <c r="H743" s="2" t="s">
        <v>32</v>
      </c>
      <c r="I743" s="2">
        <v>52.212245000000003</v>
      </c>
      <c r="J743" s="2">
        <v>21.032988</v>
      </c>
      <c r="K743" s="2" t="str">
        <f t="shared" si="45"/>
        <v>Available</v>
      </c>
      <c r="L743" s="2" t="s">
        <v>10</v>
      </c>
      <c r="M743" s="3">
        <v>45434</v>
      </c>
      <c r="N743" s="3" t="str">
        <f t="shared" si="46"/>
        <v>May</v>
      </c>
      <c r="O743" s="2" t="s">
        <v>6</v>
      </c>
      <c r="P743" t="str">
        <f t="shared" si="47"/>
        <v>OK</v>
      </c>
    </row>
    <row r="744" spans="1:16" x14ac:dyDescent="0.3">
      <c r="A744" s="2">
        <f t="shared" si="44"/>
        <v>743</v>
      </c>
      <c r="B744" s="2" t="s">
        <v>29</v>
      </c>
      <c r="C744" s="2" t="s">
        <v>4</v>
      </c>
      <c r="D744" s="1">
        <v>0.308</v>
      </c>
      <c r="E744" s="1" t="str" cm="1">
        <f t="array" ref="E744">_xlfn.IFS(
D744&lt;20,"Light",
D744&lt;50,"Medium",
D744&lt;100,"Heavy",
D744&gt;=100,"Very Heavy")</f>
        <v>Light</v>
      </c>
      <c r="F744" s="2">
        <v>22</v>
      </c>
      <c r="G744" s="2" t="str" cm="1">
        <f t="array" ref="G744">_xlfn.IFS(
F744&lt;50,"Small",
F744&lt;100,"Medium",
F744&lt;150,"Large",
F744&gt;=150,"Very Large"
)</f>
        <v>Small</v>
      </c>
      <c r="H744" s="2" t="s">
        <v>33</v>
      </c>
      <c r="I744" s="2">
        <v>52.212583000000002</v>
      </c>
      <c r="J744" s="2">
        <v>21.032931999999999</v>
      </c>
      <c r="K744" s="2" t="str">
        <f t="shared" si="45"/>
        <v>Available</v>
      </c>
      <c r="L744" s="2" t="s">
        <v>10</v>
      </c>
      <c r="M744" s="3">
        <v>45434</v>
      </c>
      <c r="N744" s="3" t="str">
        <f t="shared" si="46"/>
        <v>May</v>
      </c>
      <c r="O744" s="2" t="s">
        <v>6</v>
      </c>
      <c r="P744" t="str">
        <f t="shared" si="47"/>
        <v>OK</v>
      </c>
    </row>
    <row r="745" spans="1:16" x14ac:dyDescent="0.3">
      <c r="A745" s="2">
        <f t="shared" si="44"/>
        <v>744</v>
      </c>
      <c r="B745" s="2" t="s">
        <v>29</v>
      </c>
      <c r="C745" s="2" t="s">
        <v>4</v>
      </c>
      <c r="D745" s="1">
        <v>0.28999999999999998</v>
      </c>
      <c r="E745" s="1" t="str" cm="1">
        <f t="array" ref="E745">_xlfn.IFS(
D745&lt;20,"Light",
D745&lt;50,"Medium",
D745&lt;100,"Heavy",
D745&gt;=100,"Very Heavy")</f>
        <v>Light</v>
      </c>
      <c r="F745" s="2">
        <v>23</v>
      </c>
      <c r="G745" s="2" t="str" cm="1">
        <f t="array" ref="G745">_xlfn.IFS(
F745&lt;50,"Small",
F745&lt;100,"Medium",
F745&lt;150,"Large",
F745&gt;=150,"Very Large"
)</f>
        <v>Small</v>
      </c>
      <c r="H745" s="2" t="s">
        <v>32</v>
      </c>
      <c r="I745" s="2">
        <v>52.212065000000003</v>
      </c>
      <c r="J745" s="2">
        <v>21.034571</v>
      </c>
      <c r="K745" s="2" t="str">
        <f t="shared" si="45"/>
        <v>Available</v>
      </c>
      <c r="L745" s="2" t="s">
        <v>10</v>
      </c>
      <c r="M745" s="3">
        <v>45435</v>
      </c>
      <c r="N745" s="3" t="str">
        <f t="shared" si="46"/>
        <v>May</v>
      </c>
      <c r="O745" s="2" t="s">
        <v>6</v>
      </c>
      <c r="P745" t="str">
        <f t="shared" si="47"/>
        <v>OK</v>
      </c>
    </row>
    <row r="746" spans="1:16" x14ac:dyDescent="0.3">
      <c r="A746" s="2">
        <f t="shared" si="44"/>
        <v>745</v>
      </c>
      <c r="B746" s="2" t="s">
        <v>30</v>
      </c>
      <c r="C746" s="2" t="s">
        <v>13</v>
      </c>
      <c r="D746" s="1">
        <v>0.5</v>
      </c>
      <c r="E746" s="1" t="str" cm="1">
        <f t="array" ref="E746">_xlfn.IFS(
D746&lt;20,"Light",
D746&lt;50,"Medium",
D746&lt;100,"Heavy",
D746&gt;=100,"Very Heavy")</f>
        <v>Light</v>
      </c>
      <c r="F746" s="2">
        <v>16</v>
      </c>
      <c r="G746" s="2" t="str" cm="1">
        <f t="array" ref="G746">_xlfn.IFS(
F746&lt;50,"Small",
F746&lt;100,"Medium",
F746&lt;150,"Large",
F746&gt;=150,"Very Large"
)</f>
        <v>Small</v>
      </c>
      <c r="H746" s="2" t="s">
        <v>32</v>
      </c>
      <c r="I746" s="2">
        <v>48.231214000000001</v>
      </c>
      <c r="J746" s="2">
        <v>17.084105000000001</v>
      </c>
      <c r="K746" s="2" t="str">
        <f t="shared" si="45"/>
        <v>Available</v>
      </c>
      <c r="L746" s="2" t="s">
        <v>10</v>
      </c>
      <c r="M746" s="3">
        <v>45435</v>
      </c>
      <c r="N746" s="3" t="str">
        <f t="shared" si="46"/>
        <v>May</v>
      </c>
      <c r="O746" s="2" t="s">
        <v>14</v>
      </c>
      <c r="P746" t="str">
        <f t="shared" si="47"/>
        <v>OK</v>
      </c>
    </row>
    <row r="747" spans="1:16" x14ac:dyDescent="0.3">
      <c r="A747" s="2">
        <f t="shared" si="44"/>
        <v>746</v>
      </c>
      <c r="B747" s="2" t="s">
        <v>28</v>
      </c>
      <c r="C747" s="2" t="s">
        <v>15</v>
      </c>
      <c r="D747" s="1">
        <v>21</v>
      </c>
      <c r="E747" s="1" t="str" cm="1">
        <f t="array" ref="E747">_xlfn.IFS(
D747&lt;20,"Light",
D747&lt;50,"Medium",
D747&lt;100,"Heavy",
D747&gt;=100,"Very Heavy")</f>
        <v>Medium</v>
      </c>
      <c r="F747" s="2">
        <v>91</v>
      </c>
      <c r="G747" s="2" t="str" cm="1">
        <f t="array" ref="G747">_xlfn.IFS(
F747&lt;50,"Small",
F747&lt;100,"Medium",
F747&lt;150,"Large",
F747&gt;=150,"Very Large"
)</f>
        <v>Medium</v>
      </c>
      <c r="H747" s="2" t="s">
        <v>33</v>
      </c>
      <c r="I747" s="2">
        <v>50.881878</v>
      </c>
      <c r="J747" s="2">
        <v>14.371969</v>
      </c>
      <c r="K747" s="2" t="str">
        <f t="shared" si="45"/>
        <v>Available</v>
      </c>
      <c r="L747" s="2" t="s">
        <v>10</v>
      </c>
      <c r="M747" s="3">
        <v>45435</v>
      </c>
      <c r="N747" s="3" t="str">
        <f t="shared" si="46"/>
        <v>May</v>
      </c>
      <c r="O747" s="2" t="s">
        <v>14</v>
      </c>
      <c r="P747" t="str">
        <f t="shared" si="47"/>
        <v>OK</v>
      </c>
    </row>
    <row r="748" spans="1:16" x14ac:dyDescent="0.3">
      <c r="A748" s="2">
        <f t="shared" si="44"/>
        <v>747</v>
      </c>
      <c r="B748" s="2" t="s">
        <v>29</v>
      </c>
      <c r="C748" s="2" t="s">
        <v>4</v>
      </c>
      <c r="D748" s="1">
        <v>0.34599999999999997</v>
      </c>
      <c r="E748" s="1" t="str" cm="1">
        <f t="array" ref="E748">_xlfn.IFS(
D748&lt;20,"Light",
D748&lt;50,"Medium",
D748&lt;100,"Heavy",
D748&gt;=100,"Very Heavy")</f>
        <v>Light</v>
      </c>
      <c r="F748" s="2">
        <v>22</v>
      </c>
      <c r="G748" s="2" t="str" cm="1">
        <f t="array" ref="G748">_xlfn.IFS(
F748&lt;50,"Small",
F748&lt;100,"Medium",
F748&lt;150,"Large",
F748&gt;=150,"Very Large"
)</f>
        <v>Small</v>
      </c>
      <c r="H748" s="2" t="s">
        <v>33</v>
      </c>
      <c r="I748" s="2">
        <v>52.212305000000001</v>
      </c>
      <c r="J748" s="2">
        <v>21.033920999999999</v>
      </c>
      <c r="K748" s="2" t="str">
        <f t="shared" si="45"/>
        <v>Available</v>
      </c>
      <c r="L748" s="2" t="s">
        <v>10</v>
      </c>
      <c r="M748" s="3">
        <v>45436</v>
      </c>
      <c r="N748" s="3" t="str">
        <f t="shared" si="46"/>
        <v>May</v>
      </c>
      <c r="O748" s="2" t="s">
        <v>6</v>
      </c>
      <c r="P748" t="str">
        <f t="shared" si="47"/>
        <v>OK</v>
      </c>
    </row>
    <row r="749" spans="1:16" x14ac:dyDescent="0.3">
      <c r="A749" s="2">
        <f t="shared" si="44"/>
        <v>748</v>
      </c>
      <c r="B749" s="2" t="s">
        <v>30</v>
      </c>
      <c r="C749" s="2" t="s">
        <v>13</v>
      </c>
      <c r="D749" s="1">
        <v>0.7</v>
      </c>
      <c r="E749" s="1" t="str" cm="1">
        <f t="array" ref="E749">_xlfn.IFS(
D749&lt;20,"Light",
D749&lt;50,"Medium",
D749&lt;100,"Heavy",
D749&gt;=100,"Very Heavy")</f>
        <v>Light</v>
      </c>
      <c r="F749" s="2">
        <v>20</v>
      </c>
      <c r="G749" s="2" t="str" cm="1">
        <f t="array" ref="G749">_xlfn.IFS(
F749&lt;50,"Small",
F749&lt;100,"Medium",
F749&lt;150,"Large",
F749&gt;=150,"Very Large"
)</f>
        <v>Small</v>
      </c>
      <c r="H749" s="2" t="s">
        <v>33</v>
      </c>
      <c r="I749" s="2">
        <v>48.231411000000001</v>
      </c>
      <c r="J749" s="2">
        <v>17.075483999999999</v>
      </c>
      <c r="K749" s="2" t="str">
        <f t="shared" si="45"/>
        <v>Available</v>
      </c>
      <c r="L749" s="2" t="s">
        <v>10</v>
      </c>
      <c r="M749" s="3">
        <v>45436</v>
      </c>
      <c r="N749" s="3" t="str">
        <f t="shared" si="46"/>
        <v>May</v>
      </c>
      <c r="O749" s="2" t="s">
        <v>14</v>
      </c>
      <c r="P749" t="str">
        <f t="shared" si="47"/>
        <v>OK</v>
      </c>
    </row>
    <row r="750" spans="1:16" x14ac:dyDescent="0.3">
      <c r="A750" s="2">
        <f t="shared" si="44"/>
        <v>749</v>
      </c>
      <c r="B750" s="2" t="s">
        <v>29</v>
      </c>
      <c r="C750" s="2" t="s">
        <v>4</v>
      </c>
      <c r="D750" s="1">
        <v>0.297366504854368</v>
      </c>
      <c r="E750" s="1" t="str" cm="1">
        <f t="array" ref="E750">_xlfn.IFS(
D750&lt;20,"Light",
D750&lt;50,"Medium",
D750&lt;100,"Heavy",
D750&gt;=100,"Very Heavy")</f>
        <v>Light</v>
      </c>
      <c r="F750" s="2">
        <v>20.418848167539199</v>
      </c>
      <c r="G750" s="2" t="str" cm="1">
        <f t="array" ref="G750">_xlfn.IFS(
F750&lt;50,"Small",
F750&lt;100,"Medium",
F750&lt;150,"Large",
F750&gt;=150,"Very Large"
)</f>
        <v>Small</v>
      </c>
      <c r="H750" s="2" t="s">
        <v>32</v>
      </c>
      <c r="I750" s="2">
        <v>52.212905999999997</v>
      </c>
      <c r="J750" s="2">
        <v>21.03321</v>
      </c>
      <c r="K750" s="2" t="str">
        <f t="shared" si="45"/>
        <v>Available</v>
      </c>
      <c r="L750" s="2" t="s">
        <v>10</v>
      </c>
      <c r="M750" s="3">
        <v>45437</v>
      </c>
      <c r="N750" s="3" t="str">
        <f t="shared" si="46"/>
        <v>May</v>
      </c>
      <c r="O750" s="2" t="s">
        <v>6</v>
      </c>
      <c r="P750" t="str">
        <f t="shared" si="47"/>
        <v>OK</v>
      </c>
    </row>
    <row r="751" spans="1:16" x14ac:dyDescent="0.3">
      <c r="A751" s="2">
        <f t="shared" si="44"/>
        <v>750</v>
      </c>
      <c r="B751" s="2" t="s">
        <v>29</v>
      </c>
      <c r="C751" s="2" t="s">
        <v>4</v>
      </c>
      <c r="D751" s="1">
        <v>0.32700000000000001</v>
      </c>
      <c r="E751" s="1" t="str" cm="1">
        <f t="array" ref="E751">_xlfn.IFS(
D751&lt;20,"Light",
D751&lt;50,"Medium",
D751&lt;100,"Heavy",
D751&gt;=100,"Very Heavy")</f>
        <v>Light</v>
      </c>
      <c r="F751" s="2">
        <v>24</v>
      </c>
      <c r="G751" s="2" t="str" cm="1">
        <f t="array" ref="G751">_xlfn.IFS(
F751&lt;50,"Small",
F751&lt;100,"Medium",
F751&lt;150,"Large",
F751&gt;=150,"Very Large"
)</f>
        <v>Small</v>
      </c>
      <c r="H751" s="2" t="s">
        <v>33</v>
      </c>
      <c r="I751" s="2">
        <v>52.822110000000002</v>
      </c>
      <c r="J751" s="2">
        <v>23.814402999999999</v>
      </c>
      <c r="K751" s="2" t="str">
        <f t="shared" si="45"/>
        <v>Available</v>
      </c>
      <c r="L751" s="2" t="s">
        <v>10</v>
      </c>
      <c r="M751" s="3">
        <v>45438</v>
      </c>
      <c r="N751" s="3" t="str">
        <f t="shared" si="46"/>
        <v>May</v>
      </c>
      <c r="O751" s="2" t="s">
        <v>6</v>
      </c>
      <c r="P751" t="str">
        <f t="shared" si="47"/>
        <v>OK</v>
      </c>
    </row>
    <row r="752" spans="1:16" x14ac:dyDescent="0.3">
      <c r="A752" s="2">
        <f t="shared" si="44"/>
        <v>751</v>
      </c>
      <c r="B752" s="2" t="s">
        <v>30</v>
      </c>
      <c r="C752" s="2" t="s">
        <v>13</v>
      </c>
      <c r="D752" s="1">
        <v>0.8</v>
      </c>
      <c r="E752" s="1" t="str" cm="1">
        <f t="array" ref="E752">_xlfn.IFS(
D752&lt;20,"Light",
D752&lt;50,"Medium",
D752&lt;100,"Heavy",
D752&gt;=100,"Very Heavy")</f>
        <v>Light</v>
      </c>
      <c r="F752" s="2">
        <v>18</v>
      </c>
      <c r="G752" s="2" t="str" cm="1">
        <f t="array" ref="G752">_xlfn.IFS(
F752&lt;50,"Small",
F752&lt;100,"Medium",
F752&lt;150,"Large",
F752&gt;=150,"Very Large"
)</f>
        <v>Small</v>
      </c>
      <c r="H752" s="2" t="s">
        <v>32</v>
      </c>
      <c r="I752" s="2">
        <v>48.237588000000002</v>
      </c>
      <c r="J752" s="2">
        <v>17.090344000000002</v>
      </c>
      <c r="K752" s="2" t="str">
        <f t="shared" si="45"/>
        <v>Available</v>
      </c>
      <c r="L752" s="2" t="s">
        <v>10</v>
      </c>
      <c r="M752" s="3">
        <v>45438</v>
      </c>
      <c r="N752" s="3" t="str">
        <f t="shared" si="46"/>
        <v>May</v>
      </c>
      <c r="O752" s="2" t="s">
        <v>14</v>
      </c>
      <c r="P752" t="str">
        <f t="shared" si="47"/>
        <v>OK</v>
      </c>
    </row>
    <row r="753" spans="1:16" x14ac:dyDescent="0.3">
      <c r="A753" s="2">
        <f t="shared" si="44"/>
        <v>752</v>
      </c>
      <c r="B753" s="2" t="s">
        <v>30</v>
      </c>
      <c r="C753" s="2" t="s">
        <v>13</v>
      </c>
      <c r="D753" s="1">
        <v>0.7</v>
      </c>
      <c r="E753" s="1" t="str" cm="1">
        <f t="array" ref="E753">_xlfn.IFS(
D753&lt;20,"Light",
D753&lt;50,"Medium",
D753&lt;100,"Heavy",
D753&gt;=100,"Very Heavy")</f>
        <v>Light</v>
      </c>
      <c r="F753" s="2">
        <v>18</v>
      </c>
      <c r="G753" s="2" t="str" cm="1">
        <f t="array" ref="G753">_xlfn.IFS(
F753&lt;50,"Small",
F753&lt;100,"Medium",
F753&lt;150,"Large",
F753&gt;=150,"Very Large"
)</f>
        <v>Small</v>
      </c>
      <c r="H753" s="2" t="s">
        <v>33</v>
      </c>
      <c r="I753" s="2">
        <v>48.232774999999997</v>
      </c>
      <c r="J753" s="2">
        <v>17.070226000000002</v>
      </c>
      <c r="K753" s="2" t="str">
        <f t="shared" si="45"/>
        <v>Available</v>
      </c>
      <c r="L753" s="2" t="s">
        <v>10</v>
      </c>
      <c r="M753" s="3">
        <v>45439</v>
      </c>
      <c r="N753" s="3" t="str">
        <f t="shared" si="46"/>
        <v>May</v>
      </c>
      <c r="O753" s="2" t="s">
        <v>14</v>
      </c>
      <c r="P753" t="str">
        <f t="shared" si="47"/>
        <v>OK</v>
      </c>
    </row>
    <row r="754" spans="1:16" x14ac:dyDescent="0.3">
      <c r="A754" s="2">
        <f t="shared" si="44"/>
        <v>753</v>
      </c>
      <c r="B754" s="2" t="s">
        <v>29</v>
      </c>
      <c r="C754" s="2" t="s">
        <v>4</v>
      </c>
      <c r="D754" s="1">
        <v>0.27400000000000002</v>
      </c>
      <c r="E754" s="1" t="str" cm="1">
        <f t="array" ref="E754">_xlfn.IFS(
D754&lt;20,"Light",
D754&lt;50,"Medium",
D754&lt;100,"Heavy",
D754&gt;=100,"Very Heavy")</f>
        <v>Light</v>
      </c>
      <c r="F754" s="2">
        <v>23</v>
      </c>
      <c r="G754" s="2" t="str" cm="1">
        <f t="array" ref="G754">_xlfn.IFS(
F754&lt;50,"Small",
F754&lt;100,"Medium",
F754&lt;150,"Large",
F754&gt;=150,"Very Large"
)</f>
        <v>Small</v>
      </c>
      <c r="H754" s="2" t="s">
        <v>32</v>
      </c>
      <c r="I754" s="2">
        <v>52.821630999999996</v>
      </c>
      <c r="J754" s="2">
        <v>23.813638000000001</v>
      </c>
      <c r="K754" s="2" t="str">
        <f t="shared" si="45"/>
        <v>Available</v>
      </c>
      <c r="L754" s="2" t="s">
        <v>10</v>
      </c>
      <c r="M754" s="3">
        <v>45440</v>
      </c>
      <c r="N754" s="3" t="str">
        <f t="shared" si="46"/>
        <v>May</v>
      </c>
      <c r="O754" s="2" t="s">
        <v>6</v>
      </c>
      <c r="P754" t="str">
        <f t="shared" si="47"/>
        <v>OK</v>
      </c>
    </row>
    <row r="755" spans="1:16" x14ac:dyDescent="0.3">
      <c r="A755" s="2">
        <f t="shared" si="44"/>
        <v>754</v>
      </c>
      <c r="B755" s="2" t="s">
        <v>29</v>
      </c>
      <c r="C755" s="2" t="s">
        <v>4</v>
      </c>
      <c r="D755" s="1">
        <v>0.31</v>
      </c>
      <c r="E755" s="1" t="str" cm="1">
        <f t="array" ref="E755">_xlfn.IFS(
D755&lt;20,"Light",
D755&lt;50,"Medium",
D755&lt;100,"Heavy",
D755&gt;=100,"Very Heavy")</f>
        <v>Light</v>
      </c>
      <c r="F755" s="2">
        <v>19</v>
      </c>
      <c r="G755" s="2" t="str" cm="1">
        <f t="array" ref="G755">_xlfn.IFS(
F755&lt;50,"Small",
F755&lt;100,"Medium",
F755&lt;150,"Large",
F755&gt;=150,"Very Large"
)</f>
        <v>Small</v>
      </c>
      <c r="H755" s="2" t="s">
        <v>33</v>
      </c>
      <c r="I755" s="2">
        <v>52.821523999999997</v>
      </c>
      <c r="J755" s="2">
        <v>23.817036999999999</v>
      </c>
      <c r="K755" s="2" t="str">
        <f t="shared" si="45"/>
        <v>Available</v>
      </c>
      <c r="L755" s="2" t="s">
        <v>8</v>
      </c>
      <c r="M755" s="3">
        <v>45441</v>
      </c>
      <c r="N755" s="3" t="str">
        <f t="shared" si="46"/>
        <v>May</v>
      </c>
      <c r="O755" s="2" t="s">
        <v>6</v>
      </c>
      <c r="P755" t="str">
        <f t="shared" si="47"/>
        <v>OK</v>
      </c>
    </row>
    <row r="756" spans="1:16" x14ac:dyDescent="0.3">
      <c r="A756" s="2">
        <f t="shared" si="44"/>
        <v>755</v>
      </c>
      <c r="B756" s="2" t="s">
        <v>30</v>
      </c>
      <c r="C756" s="2" t="s">
        <v>13</v>
      </c>
      <c r="D756" s="1">
        <v>0.8</v>
      </c>
      <c r="E756" s="1" t="str" cm="1">
        <f t="array" ref="E756">_xlfn.IFS(
D756&lt;20,"Light",
D756&lt;50,"Medium",
D756&lt;100,"Heavy",
D756&gt;=100,"Very Heavy")</f>
        <v>Light</v>
      </c>
      <c r="F756" s="2">
        <v>18</v>
      </c>
      <c r="G756" s="2" t="str" cm="1">
        <f t="array" ref="G756">_xlfn.IFS(
F756&lt;50,"Small",
F756&lt;100,"Medium",
F756&lt;150,"Large",
F756&gt;=150,"Very Large"
)</f>
        <v>Small</v>
      </c>
      <c r="H756" s="2" t="s">
        <v>32</v>
      </c>
      <c r="I756" s="2">
        <v>48.226889999999997</v>
      </c>
      <c r="J756" s="2">
        <v>17.084025</v>
      </c>
      <c r="K756" s="2" t="str">
        <f t="shared" si="45"/>
        <v>Available</v>
      </c>
      <c r="L756" s="2" t="s">
        <v>10</v>
      </c>
      <c r="M756" s="3">
        <v>45441</v>
      </c>
      <c r="N756" s="3" t="str">
        <f t="shared" si="46"/>
        <v>May</v>
      </c>
      <c r="O756" s="2" t="s">
        <v>14</v>
      </c>
      <c r="P756" t="str">
        <f t="shared" si="47"/>
        <v>OK</v>
      </c>
    </row>
    <row r="757" spans="1:16" x14ac:dyDescent="0.3">
      <c r="A757" s="2">
        <f t="shared" si="44"/>
        <v>756</v>
      </c>
      <c r="B757" s="2" t="s">
        <v>28</v>
      </c>
      <c r="C757" s="2" t="s">
        <v>13</v>
      </c>
      <c r="D757" s="1">
        <v>25</v>
      </c>
      <c r="E757" s="1" t="str" cm="1">
        <f t="array" ref="E757">_xlfn.IFS(
D757&lt;20,"Light",
D757&lt;50,"Medium",
D757&lt;100,"Heavy",
D757&gt;=100,"Very Heavy")</f>
        <v>Medium</v>
      </c>
      <c r="F757" s="2">
        <v>101</v>
      </c>
      <c r="G757" s="2" t="str" cm="1">
        <f t="array" ref="G757">_xlfn.IFS(
F757&lt;50,"Small",
F757&lt;100,"Medium",
F757&lt;150,"Large",
F757&gt;=150,"Very Large"
)</f>
        <v>Large</v>
      </c>
      <c r="H757" s="2" t="s">
        <v>33</v>
      </c>
      <c r="I757" s="2">
        <v>48.412941000000004</v>
      </c>
      <c r="J757" s="2">
        <v>18.863683999999999</v>
      </c>
      <c r="K757" s="2" t="str">
        <f t="shared" si="45"/>
        <v>Available</v>
      </c>
      <c r="L757" s="2" t="s">
        <v>10</v>
      </c>
      <c r="M757" s="3">
        <v>45441</v>
      </c>
      <c r="N757" s="3" t="str">
        <f t="shared" si="46"/>
        <v>May</v>
      </c>
      <c r="O757" s="2" t="s">
        <v>14</v>
      </c>
      <c r="P757" t="str">
        <f t="shared" si="47"/>
        <v>OK</v>
      </c>
    </row>
    <row r="758" spans="1:16" x14ac:dyDescent="0.3">
      <c r="A758" s="2">
        <f t="shared" si="44"/>
        <v>757</v>
      </c>
      <c r="B758" s="2" t="s">
        <v>30</v>
      </c>
      <c r="C758" s="2" t="s">
        <v>13</v>
      </c>
      <c r="D758" s="1">
        <v>0.6</v>
      </c>
      <c r="E758" s="1" t="str" cm="1">
        <f t="array" ref="E758">_xlfn.IFS(
D758&lt;20,"Light",
D758&lt;50,"Medium",
D758&lt;100,"Heavy",
D758&gt;=100,"Very Heavy")</f>
        <v>Light</v>
      </c>
      <c r="F758" s="2">
        <v>18</v>
      </c>
      <c r="G758" s="2" t="str" cm="1">
        <f t="array" ref="G758">_xlfn.IFS(
F758&lt;50,"Small",
F758&lt;100,"Medium",
F758&lt;150,"Large",
F758&gt;=150,"Very Large"
)</f>
        <v>Small</v>
      </c>
      <c r="H758" s="2" t="s">
        <v>33</v>
      </c>
      <c r="I758" s="2">
        <v>48.237124000000001</v>
      </c>
      <c r="J758" s="2">
        <v>17.085811</v>
      </c>
      <c r="K758" s="2" t="str">
        <f t="shared" si="45"/>
        <v>Available</v>
      </c>
      <c r="L758" s="2" t="s">
        <v>10</v>
      </c>
      <c r="M758" s="3">
        <v>45442</v>
      </c>
      <c r="N758" s="3" t="str">
        <f t="shared" si="46"/>
        <v>May</v>
      </c>
      <c r="O758" s="2" t="s">
        <v>14</v>
      </c>
      <c r="P758" t="str">
        <f t="shared" si="47"/>
        <v>OK</v>
      </c>
    </row>
    <row r="759" spans="1:16" x14ac:dyDescent="0.3">
      <c r="A759" s="2">
        <f t="shared" si="44"/>
        <v>758</v>
      </c>
      <c r="B759" s="2" t="s">
        <v>29</v>
      </c>
      <c r="C759" s="2" t="s">
        <v>4</v>
      </c>
      <c r="D759" s="1">
        <v>0.315</v>
      </c>
      <c r="E759" s="1" t="str" cm="1">
        <f t="array" ref="E759">_xlfn.IFS(
D759&lt;20,"Light",
D759&lt;50,"Medium",
D759&lt;100,"Heavy",
D759&gt;=100,"Very Heavy")</f>
        <v>Light</v>
      </c>
      <c r="F759" s="2">
        <v>24</v>
      </c>
      <c r="G759" s="2" t="str" cm="1">
        <f t="array" ref="G759">_xlfn.IFS(
F759&lt;50,"Small",
F759&lt;100,"Medium",
F759&lt;150,"Large",
F759&gt;=150,"Very Large"
)</f>
        <v>Small</v>
      </c>
      <c r="H759" s="2" t="s">
        <v>33</v>
      </c>
      <c r="I759" s="2">
        <v>52.822949999999999</v>
      </c>
      <c r="J759" s="2">
        <v>23.812750000000001</v>
      </c>
      <c r="K759" s="2" t="str">
        <f t="shared" si="45"/>
        <v>Available</v>
      </c>
      <c r="L759" s="2" t="s">
        <v>10</v>
      </c>
      <c r="M759" s="3">
        <v>45443</v>
      </c>
      <c r="N759" s="3" t="str">
        <f t="shared" si="46"/>
        <v>May</v>
      </c>
      <c r="O759" s="2" t="s">
        <v>6</v>
      </c>
      <c r="P759" t="str">
        <f t="shared" si="47"/>
        <v>OK</v>
      </c>
    </row>
    <row r="760" spans="1:16" x14ac:dyDescent="0.3">
      <c r="A760" s="2">
        <f t="shared" si="44"/>
        <v>759</v>
      </c>
      <c r="B760" s="2" t="s">
        <v>29</v>
      </c>
      <c r="C760" s="2" t="s">
        <v>4</v>
      </c>
      <c r="D760" s="1">
        <v>0.29299999999999998</v>
      </c>
      <c r="E760" s="1" t="str" cm="1">
        <f t="array" ref="E760">_xlfn.IFS(
D760&lt;20,"Light",
D760&lt;50,"Medium",
D760&lt;100,"Heavy",
D760&gt;=100,"Very Heavy")</f>
        <v>Light</v>
      </c>
      <c r="F760" s="2">
        <v>22</v>
      </c>
      <c r="G760" s="2" t="str" cm="1">
        <f t="array" ref="G760">_xlfn.IFS(
F760&lt;50,"Small",
F760&lt;100,"Medium",
F760&lt;150,"Large",
F760&gt;=150,"Very Large"
)</f>
        <v>Small</v>
      </c>
      <c r="H760" s="2" t="s">
        <v>33</v>
      </c>
      <c r="I760" s="2">
        <v>52.820813000000001</v>
      </c>
      <c r="J760" s="2">
        <v>23.809086000000001</v>
      </c>
      <c r="K760" s="2" t="str">
        <f t="shared" si="45"/>
        <v>Available</v>
      </c>
      <c r="L760" s="2" t="s">
        <v>10</v>
      </c>
      <c r="M760" s="3">
        <v>45443</v>
      </c>
      <c r="N760" s="3" t="str">
        <f t="shared" si="46"/>
        <v>May</v>
      </c>
      <c r="O760" s="2" t="s">
        <v>6</v>
      </c>
      <c r="P760" t="str">
        <f t="shared" si="47"/>
        <v>OK</v>
      </c>
    </row>
    <row r="761" spans="1:16" x14ac:dyDescent="0.3">
      <c r="A761" s="2">
        <f t="shared" si="44"/>
        <v>760</v>
      </c>
      <c r="B761" s="2" t="s">
        <v>29</v>
      </c>
      <c r="C761" s="2" t="s">
        <v>4</v>
      </c>
      <c r="D761" s="1">
        <v>0.30199999999999999</v>
      </c>
      <c r="E761" s="1" t="str" cm="1">
        <f t="array" ref="E761">_xlfn.IFS(
D761&lt;20,"Light",
D761&lt;50,"Medium",
D761&lt;100,"Heavy",
D761&gt;=100,"Very Heavy")</f>
        <v>Light</v>
      </c>
      <c r="F761" s="2">
        <v>24</v>
      </c>
      <c r="G761" s="2" t="str" cm="1">
        <f t="array" ref="G761">_xlfn.IFS(
F761&lt;50,"Small",
F761&lt;100,"Medium",
F761&lt;150,"Large",
F761&gt;=150,"Very Large"
)</f>
        <v>Small</v>
      </c>
      <c r="H761" s="2" t="s">
        <v>32</v>
      </c>
      <c r="I761" s="2">
        <v>52.825792999999997</v>
      </c>
      <c r="J761" s="2">
        <v>23.811067999999999</v>
      </c>
      <c r="K761" s="2" t="str">
        <f t="shared" si="45"/>
        <v>Available</v>
      </c>
      <c r="L761" s="2" t="s">
        <v>10</v>
      </c>
      <c r="M761" s="3">
        <v>45443</v>
      </c>
      <c r="N761" s="3" t="str">
        <f t="shared" si="46"/>
        <v>May</v>
      </c>
      <c r="O761" s="2" t="s">
        <v>6</v>
      </c>
      <c r="P761" t="str">
        <f t="shared" si="47"/>
        <v>OK</v>
      </c>
    </row>
    <row r="762" spans="1:16" x14ac:dyDescent="0.3">
      <c r="A762" s="2">
        <f t="shared" si="44"/>
        <v>761</v>
      </c>
      <c r="B762" s="2" t="s">
        <v>29</v>
      </c>
      <c r="C762" s="2" t="s">
        <v>4</v>
      </c>
      <c r="D762" s="1">
        <v>0.29899999999999999</v>
      </c>
      <c r="E762" s="1" t="str" cm="1">
        <f t="array" ref="E762">_xlfn.IFS(
D762&lt;20,"Light",
D762&lt;50,"Medium",
D762&lt;100,"Heavy",
D762&gt;=100,"Very Heavy")</f>
        <v>Light</v>
      </c>
      <c r="F762" s="2">
        <v>20</v>
      </c>
      <c r="G762" s="2" t="str" cm="1">
        <f t="array" ref="G762">_xlfn.IFS(
F762&lt;50,"Small",
F762&lt;100,"Medium",
F762&lt;150,"Large",
F762&gt;=150,"Very Large"
)</f>
        <v>Small</v>
      </c>
      <c r="H762" s="2" t="s">
        <v>33</v>
      </c>
      <c r="I762" s="2">
        <v>52.820307999999997</v>
      </c>
      <c r="J762" s="2">
        <v>23.809736000000001</v>
      </c>
      <c r="K762" s="2" t="str">
        <f t="shared" si="45"/>
        <v>Available</v>
      </c>
      <c r="L762" s="2" t="s">
        <v>10</v>
      </c>
      <c r="M762" s="3">
        <v>45443</v>
      </c>
      <c r="N762" s="3" t="str">
        <f t="shared" si="46"/>
        <v>May</v>
      </c>
      <c r="O762" s="2" t="s">
        <v>6</v>
      </c>
      <c r="P762" t="str">
        <f t="shared" si="47"/>
        <v>OK</v>
      </c>
    </row>
    <row r="763" spans="1:16" x14ac:dyDescent="0.3">
      <c r="A763" s="2">
        <f t="shared" si="44"/>
        <v>762</v>
      </c>
      <c r="B763" s="2" t="s">
        <v>30</v>
      </c>
      <c r="C763" s="2" t="s">
        <v>13</v>
      </c>
      <c r="D763" s="1">
        <v>0.6</v>
      </c>
      <c r="E763" s="1" t="str" cm="1">
        <f t="array" ref="E763">_xlfn.IFS(
D763&lt;20,"Light",
D763&lt;50,"Medium",
D763&lt;100,"Heavy",
D763&gt;=100,"Very Heavy")</f>
        <v>Light</v>
      </c>
      <c r="F763" s="2">
        <v>15</v>
      </c>
      <c r="G763" s="2" t="str" cm="1">
        <f t="array" ref="G763">_xlfn.IFS(
F763&lt;50,"Small",
F763&lt;100,"Medium",
F763&lt;150,"Large",
F763&gt;=150,"Very Large"
)</f>
        <v>Small</v>
      </c>
      <c r="H763" s="2" t="s">
        <v>32</v>
      </c>
      <c r="I763" s="2">
        <v>48.228141000000001</v>
      </c>
      <c r="J763" s="2">
        <v>17.089054999999998</v>
      </c>
      <c r="K763" s="2" t="str">
        <f t="shared" si="45"/>
        <v>Available</v>
      </c>
      <c r="L763" s="2" t="s">
        <v>10</v>
      </c>
      <c r="M763" s="3">
        <v>45443</v>
      </c>
      <c r="N763" s="3" t="str">
        <f t="shared" si="46"/>
        <v>May</v>
      </c>
      <c r="O763" s="2" t="s">
        <v>14</v>
      </c>
      <c r="P763" t="str">
        <f t="shared" si="47"/>
        <v>OK</v>
      </c>
    </row>
    <row r="764" spans="1:16" x14ac:dyDescent="0.3">
      <c r="A764" s="2">
        <f t="shared" si="44"/>
        <v>763</v>
      </c>
      <c r="B764" s="2" t="s">
        <v>28</v>
      </c>
      <c r="C764" s="2" t="s">
        <v>13</v>
      </c>
      <c r="D764" s="1">
        <v>30</v>
      </c>
      <c r="E764" s="1" t="str" cm="1">
        <f t="array" ref="E764">_xlfn.IFS(
D764&lt;20,"Light",
D764&lt;50,"Medium",
D764&lt;100,"Heavy",
D764&gt;=100,"Very Heavy")</f>
        <v>Medium</v>
      </c>
      <c r="F764" s="2">
        <v>115</v>
      </c>
      <c r="G764" s="2" t="str" cm="1">
        <f t="array" ref="G764">_xlfn.IFS(
F764&lt;50,"Small",
F764&lt;100,"Medium",
F764&lt;150,"Large",
F764&gt;=150,"Very Large"
)</f>
        <v>Large</v>
      </c>
      <c r="H764" s="2" t="s">
        <v>32</v>
      </c>
      <c r="I764" s="2">
        <v>48.408025000000002</v>
      </c>
      <c r="J764" s="2">
        <v>18.865228999999999</v>
      </c>
      <c r="K764" s="2" t="str">
        <f t="shared" si="45"/>
        <v>Available</v>
      </c>
      <c r="L764" s="2" t="s">
        <v>10</v>
      </c>
      <c r="M764" s="3">
        <v>45443</v>
      </c>
      <c r="N764" s="3" t="str">
        <f t="shared" si="46"/>
        <v>May</v>
      </c>
      <c r="O764" s="2" t="s">
        <v>14</v>
      </c>
      <c r="P764" t="str">
        <f t="shared" si="47"/>
        <v>OK</v>
      </c>
    </row>
    <row r="765" spans="1:16" x14ac:dyDescent="0.3">
      <c r="A765" s="2">
        <f t="shared" si="44"/>
        <v>764</v>
      </c>
      <c r="B765" s="2" t="s">
        <v>29</v>
      </c>
      <c r="C765" s="2" t="s">
        <v>4</v>
      </c>
      <c r="D765" s="1">
        <v>0.32500000000000001</v>
      </c>
      <c r="E765" s="1" t="str" cm="1">
        <f t="array" ref="E765">_xlfn.IFS(
D765&lt;20,"Light",
D765&lt;50,"Medium",
D765&lt;100,"Heavy",
D765&gt;=100,"Very Heavy")</f>
        <v>Light</v>
      </c>
      <c r="F765" s="2">
        <v>20</v>
      </c>
      <c r="G765" s="2" t="str" cm="1">
        <f t="array" ref="G765">_xlfn.IFS(
F765&lt;50,"Small",
F765&lt;100,"Medium",
F765&lt;150,"Large",
F765&gt;=150,"Very Large"
)</f>
        <v>Small</v>
      </c>
      <c r="H765" s="2" t="s">
        <v>32</v>
      </c>
      <c r="I765" s="2">
        <v>52.823959000000002</v>
      </c>
      <c r="J765" s="2">
        <v>23.817073000000001</v>
      </c>
      <c r="K765" s="2" t="str">
        <f t="shared" si="45"/>
        <v>Available</v>
      </c>
      <c r="L765" s="2" t="s">
        <v>10</v>
      </c>
      <c r="M765" s="3">
        <v>45444</v>
      </c>
      <c r="N765" s="3" t="str">
        <f t="shared" si="46"/>
        <v>June</v>
      </c>
      <c r="O765" s="2" t="s">
        <v>6</v>
      </c>
      <c r="P765" t="str">
        <f t="shared" si="47"/>
        <v>OK</v>
      </c>
    </row>
    <row r="766" spans="1:16" x14ac:dyDescent="0.3">
      <c r="A766" s="2">
        <f t="shared" si="44"/>
        <v>765</v>
      </c>
      <c r="B766" s="2" t="s">
        <v>29</v>
      </c>
      <c r="C766" s="2" t="s">
        <v>4</v>
      </c>
      <c r="D766" s="1">
        <v>0.27600000000000002</v>
      </c>
      <c r="E766" s="1" t="str" cm="1">
        <f t="array" ref="E766">_xlfn.IFS(
D766&lt;20,"Light",
D766&lt;50,"Medium",
D766&lt;100,"Heavy",
D766&gt;=100,"Very Heavy")</f>
        <v>Light</v>
      </c>
      <c r="F766" s="2">
        <v>22</v>
      </c>
      <c r="G766" s="2" t="str" cm="1">
        <f t="array" ref="G766">_xlfn.IFS(
F766&lt;50,"Small",
F766&lt;100,"Medium",
F766&lt;150,"Large",
F766&gt;=150,"Very Large"
)</f>
        <v>Small</v>
      </c>
      <c r="H766" s="2" t="s">
        <v>32</v>
      </c>
      <c r="I766" s="2">
        <v>52.825746000000002</v>
      </c>
      <c r="J766" s="2">
        <v>23.815204000000001</v>
      </c>
      <c r="K766" s="2" t="str">
        <f t="shared" si="45"/>
        <v>Available</v>
      </c>
      <c r="L766" s="2" t="s">
        <v>10</v>
      </c>
      <c r="M766" s="3">
        <v>45444</v>
      </c>
      <c r="N766" s="3" t="str">
        <f t="shared" si="46"/>
        <v>June</v>
      </c>
      <c r="O766" s="2" t="s">
        <v>6</v>
      </c>
      <c r="P766" t="str">
        <f t="shared" si="47"/>
        <v>OK</v>
      </c>
    </row>
    <row r="767" spans="1:16" x14ac:dyDescent="0.3">
      <c r="A767" s="2">
        <f t="shared" si="44"/>
        <v>766</v>
      </c>
      <c r="B767" s="2" t="s">
        <v>29</v>
      </c>
      <c r="C767" s="2" t="s">
        <v>4</v>
      </c>
      <c r="D767" s="1">
        <v>0.29799999999999999</v>
      </c>
      <c r="E767" s="1" t="str" cm="1">
        <f t="array" ref="E767">_xlfn.IFS(
D767&lt;20,"Light",
D767&lt;50,"Medium",
D767&lt;100,"Heavy",
D767&gt;=100,"Very Heavy")</f>
        <v>Light</v>
      </c>
      <c r="F767" s="2">
        <v>24</v>
      </c>
      <c r="G767" s="2" t="str" cm="1">
        <f t="array" ref="G767">_xlfn.IFS(
F767&lt;50,"Small",
F767&lt;100,"Medium",
F767&lt;150,"Large",
F767&gt;=150,"Very Large"
)</f>
        <v>Small</v>
      </c>
      <c r="H767" s="2" t="s">
        <v>33</v>
      </c>
      <c r="I767" s="2">
        <v>52.823594999999997</v>
      </c>
      <c r="J767" s="2">
        <v>23.814758000000001</v>
      </c>
      <c r="K767" s="2" t="str">
        <f t="shared" si="45"/>
        <v>Available</v>
      </c>
      <c r="L767" s="2" t="s">
        <v>10</v>
      </c>
      <c r="M767" s="3">
        <v>45444</v>
      </c>
      <c r="N767" s="3" t="str">
        <f t="shared" si="46"/>
        <v>June</v>
      </c>
      <c r="O767" s="2" t="s">
        <v>6</v>
      </c>
      <c r="P767" t="str">
        <f t="shared" si="47"/>
        <v>OK</v>
      </c>
    </row>
    <row r="768" spans="1:16" x14ac:dyDescent="0.3">
      <c r="A768" s="2">
        <f t="shared" si="44"/>
        <v>767</v>
      </c>
      <c r="B768" s="2" t="s">
        <v>29</v>
      </c>
      <c r="C768" s="2" t="s">
        <v>4</v>
      </c>
      <c r="D768" s="1">
        <v>0.32200000000000001</v>
      </c>
      <c r="E768" s="1" t="str" cm="1">
        <f t="array" ref="E768">_xlfn.IFS(
D768&lt;20,"Light",
D768&lt;50,"Medium",
D768&lt;100,"Heavy",
D768&gt;=100,"Very Heavy")</f>
        <v>Light</v>
      </c>
      <c r="F768" s="2">
        <v>23</v>
      </c>
      <c r="G768" s="2" t="str" cm="1">
        <f t="array" ref="G768">_xlfn.IFS(
F768&lt;50,"Small",
F768&lt;100,"Medium",
F768&lt;150,"Large",
F768&gt;=150,"Very Large"
)</f>
        <v>Small</v>
      </c>
      <c r="H768" s="2" t="s">
        <v>32</v>
      </c>
      <c r="I768" s="2">
        <v>52.825363000000003</v>
      </c>
      <c r="J768" s="2">
        <v>23.816828999999998</v>
      </c>
      <c r="K768" s="2" t="str">
        <f t="shared" si="45"/>
        <v>Available</v>
      </c>
      <c r="L768" s="2" t="s">
        <v>10</v>
      </c>
      <c r="M768" s="3">
        <v>45444</v>
      </c>
      <c r="N768" s="3" t="str">
        <f t="shared" si="46"/>
        <v>June</v>
      </c>
      <c r="O768" s="2" t="s">
        <v>6</v>
      </c>
      <c r="P768" t="str">
        <f t="shared" si="47"/>
        <v>OK</v>
      </c>
    </row>
    <row r="769" spans="1:16" x14ac:dyDescent="0.3">
      <c r="A769" s="2">
        <f t="shared" si="44"/>
        <v>768</v>
      </c>
      <c r="B769" s="2" t="s">
        <v>29</v>
      </c>
      <c r="C769" s="2" t="s">
        <v>4</v>
      </c>
      <c r="D769" s="1">
        <v>0.34399999999999997</v>
      </c>
      <c r="E769" s="1" t="str" cm="1">
        <f t="array" ref="E769">_xlfn.IFS(
D769&lt;20,"Light",
D769&lt;50,"Medium",
D769&lt;100,"Heavy",
D769&gt;=100,"Very Heavy")</f>
        <v>Light</v>
      </c>
      <c r="F769" s="2">
        <v>22</v>
      </c>
      <c r="G769" s="2" t="str" cm="1">
        <f t="array" ref="G769">_xlfn.IFS(
F769&lt;50,"Small",
F769&lt;100,"Medium",
F769&lt;150,"Large",
F769&gt;=150,"Very Large"
)</f>
        <v>Small</v>
      </c>
      <c r="H769" s="2" t="s">
        <v>33</v>
      </c>
      <c r="I769" s="2">
        <v>52.821958000000002</v>
      </c>
      <c r="J769" s="2">
        <v>23.811375000000002</v>
      </c>
      <c r="K769" s="2" t="str">
        <f t="shared" si="45"/>
        <v>Available</v>
      </c>
      <c r="L769" s="2" t="s">
        <v>10</v>
      </c>
      <c r="M769" s="3">
        <v>45444</v>
      </c>
      <c r="N769" s="3" t="str">
        <f t="shared" si="46"/>
        <v>June</v>
      </c>
      <c r="O769" s="2" t="s">
        <v>6</v>
      </c>
      <c r="P769" t="str">
        <f t="shared" si="47"/>
        <v>OK</v>
      </c>
    </row>
    <row r="770" spans="1:16" x14ac:dyDescent="0.3">
      <c r="A770" s="2">
        <f t="shared" si="44"/>
        <v>769</v>
      </c>
      <c r="B770" s="2" t="s">
        <v>29</v>
      </c>
      <c r="C770" s="2" t="s">
        <v>4</v>
      </c>
      <c r="D770" s="1">
        <v>0.32300000000000001</v>
      </c>
      <c r="E770" s="1" t="str" cm="1">
        <f t="array" ref="E770">_xlfn.IFS(
D770&lt;20,"Light",
D770&lt;50,"Medium",
D770&lt;100,"Heavy",
D770&gt;=100,"Very Heavy")</f>
        <v>Light</v>
      </c>
      <c r="F770" s="2">
        <v>22</v>
      </c>
      <c r="G770" s="2" t="str" cm="1">
        <f t="array" ref="G770">_xlfn.IFS(
F770&lt;50,"Small",
F770&lt;100,"Medium",
F770&lt;150,"Large",
F770&gt;=150,"Very Large"
)</f>
        <v>Small</v>
      </c>
      <c r="H770" s="2" t="s">
        <v>33</v>
      </c>
      <c r="I770" s="2">
        <v>52.823084000000001</v>
      </c>
      <c r="J770" s="2">
        <v>23.816106000000001</v>
      </c>
      <c r="K770" s="2" t="str">
        <f t="shared" si="45"/>
        <v>Available</v>
      </c>
      <c r="L770" s="2" t="s">
        <v>10</v>
      </c>
      <c r="M770" s="3">
        <v>45444</v>
      </c>
      <c r="N770" s="3" t="str">
        <f t="shared" si="46"/>
        <v>June</v>
      </c>
      <c r="O770" s="2" t="s">
        <v>6</v>
      </c>
      <c r="P770" t="str">
        <f t="shared" si="47"/>
        <v>OK</v>
      </c>
    </row>
    <row r="771" spans="1:16" x14ac:dyDescent="0.3">
      <c r="A771" s="2">
        <f t="shared" ref="A771:A834" si="48">ROW()-1</f>
        <v>770</v>
      </c>
      <c r="B771" s="2" t="s">
        <v>30</v>
      </c>
      <c r="C771" s="2" t="s">
        <v>13</v>
      </c>
      <c r="D771" s="1">
        <v>0.6</v>
      </c>
      <c r="E771" s="1" t="str" cm="1">
        <f t="array" ref="E771">_xlfn.IFS(
D771&lt;20,"Light",
D771&lt;50,"Medium",
D771&lt;100,"Heavy",
D771&gt;=100,"Very Heavy")</f>
        <v>Light</v>
      </c>
      <c r="F771" s="2">
        <v>15</v>
      </c>
      <c r="G771" s="2" t="str" cm="1">
        <f t="array" ref="G771">_xlfn.IFS(
F771&lt;50,"Small",
F771&lt;100,"Medium",
F771&lt;150,"Large",
F771&gt;=150,"Very Large"
)</f>
        <v>Small</v>
      </c>
      <c r="H771" s="2" t="s">
        <v>32</v>
      </c>
      <c r="I771" s="2">
        <v>48.238912999999997</v>
      </c>
      <c r="J771" s="2">
        <v>17.065508000000001</v>
      </c>
      <c r="K771" s="2" t="str">
        <f t="shared" ref="K771:K834" si="49">IF(OR(I771="",J771=""),"Missing Location","Available")</f>
        <v>Available</v>
      </c>
      <c r="L771" s="2" t="s">
        <v>10</v>
      </c>
      <c r="M771" s="3">
        <v>45445</v>
      </c>
      <c r="N771" s="3" t="str">
        <f t="shared" ref="N771:N834" si="50">TEXT(M771,"mmmm")</f>
        <v>June</v>
      </c>
      <c r="O771" s="2" t="s">
        <v>14</v>
      </c>
      <c r="P771" t="str">
        <f t="shared" ref="P771:P834" si="51">IF(OR(B771="",C771="",D771="",E771="",J771=""),"Needs Review","OK")</f>
        <v>OK</v>
      </c>
    </row>
    <row r="772" spans="1:16" x14ac:dyDescent="0.3">
      <c r="A772" s="2">
        <f t="shared" si="48"/>
        <v>771</v>
      </c>
      <c r="B772" s="2" t="s">
        <v>30</v>
      </c>
      <c r="C772" s="2" t="s">
        <v>13</v>
      </c>
      <c r="D772" s="1">
        <v>0.7</v>
      </c>
      <c r="E772" s="1" t="str" cm="1">
        <f t="array" ref="E772">_xlfn.IFS(
D772&lt;20,"Light",
D772&lt;50,"Medium",
D772&lt;100,"Heavy",
D772&gt;=100,"Very Heavy")</f>
        <v>Light</v>
      </c>
      <c r="F772" s="2">
        <v>14</v>
      </c>
      <c r="G772" s="2" t="str" cm="1">
        <f t="array" ref="G772">_xlfn.IFS(
F772&lt;50,"Small",
F772&lt;100,"Medium",
F772&lt;150,"Large",
F772&gt;=150,"Very Large"
)</f>
        <v>Small</v>
      </c>
      <c r="H772" s="2" t="s">
        <v>33</v>
      </c>
      <c r="I772" s="2">
        <v>48.237761999999996</v>
      </c>
      <c r="J772" s="2">
        <v>17.067101000000001</v>
      </c>
      <c r="K772" s="2" t="str">
        <f t="shared" si="49"/>
        <v>Available</v>
      </c>
      <c r="L772" s="2" t="s">
        <v>10</v>
      </c>
      <c r="M772" s="3">
        <v>45446</v>
      </c>
      <c r="N772" s="3" t="str">
        <f t="shared" si="50"/>
        <v>June</v>
      </c>
      <c r="O772" s="2" t="s">
        <v>14</v>
      </c>
      <c r="P772" t="str">
        <f t="shared" si="51"/>
        <v>OK</v>
      </c>
    </row>
    <row r="773" spans="1:16" x14ac:dyDescent="0.3">
      <c r="A773" s="2">
        <f t="shared" si="48"/>
        <v>772</v>
      </c>
      <c r="B773" s="2" t="s">
        <v>30</v>
      </c>
      <c r="C773" s="2" t="s">
        <v>13</v>
      </c>
      <c r="D773" s="1">
        <v>0.7</v>
      </c>
      <c r="E773" s="1" t="str" cm="1">
        <f t="array" ref="E773">_xlfn.IFS(
D773&lt;20,"Light",
D773&lt;50,"Medium",
D773&lt;100,"Heavy",
D773&gt;=100,"Very Heavy")</f>
        <v>Light</v>
      </c>
      <c r="F773" s="2">
        <v>17</v>
      </c>
      <c r="G773" s="2" t="str" cm="1">
        <f t="array" ref="G773">_xlfn.IFS(
F773&lt;50,"Small",
F773&lt;100,"Medium",
F773&lt;150,"Large",
F773&gt;=150,"Very Large"
)</f>
        <v>Small</v>
      </c>
      <c r="H773" s="2" t="s">
        <v>33</v>
      </c>
      <c r="I773" s="2">
        <v>48.238517000000002</v>
      </c>
      <c r="J773" s="2">
        <v>17.090267999999998</v>
      </c>
      <c r="K773" s="2" t="str">
        <f t="shared" si="49"/>
        <v>Available</v>
      </c>
      <c r="L773" s="2" t="s">
        <v>10</v>
      </c>
      <c r="M773" s="3">
        <v>45446</v>
      </c>
      <c r="N773" s="3" t="str">
        <f t="shared" si="50"/>
        <v>June</v>
      </c>
      <c r="O773" s="2" t="s">
        <v>14</v>
      </c>
      <c r="P773" t="str">
        <f t="shared" si="51"/>
        <v>OK</v>
      </c>
    </row>
    <row r="774" spans="1:16" x14ac:dyDescent="0.3">
      <c r="A774" s="2">
        <f t="shared" si="48"/>
        <v>773</v>
      </c>
      <c r="B774" s="2" t="s">
        <v>30</v>
      </c>
      <c r="C774" s="2" t="s">
        <v>13</v>
      </c>
      <c r="D774" s="1">
        <v>0.7</v>
      </c>
      <c r="E774" s="1" t="str" cm="1">
        <f t="array" ref="E774">_xlfn.IFS(
D774&lt;20,"Light",
D774&lt;50,"Medium",
D774&lt;100,"Heavy",
D774&gt;=100,"Very Heavy")</f>
        <v>Light</v>
      </c>
      <c r="F774" s="2">
        <v>24</v>
      </c>
      <c r="G774" s="2" t="str" cm="1">
        <f t="array" ref="G774">_xlfn.IFS(
F774&lt;50,"Small",
F774&lt;100,"Medium",
F774&lt;150,"Large",
F774&gt;=150,"Very Large"
)</f>
        <v>Small</v>
      </c>
      <c r="H774" s="2" t="s">
        <v>32</v>
      </c>
      <c r="I774" s="2">
        <v>48.232384000000003</v>
      </c>
      <c r="J774" s="2">
        <v>17.067453</v>
      </c>
      <c r="K774" s="2" t="str">
        <f t="shared" si="49"/>
        <v>Available</v>
      </c>
      <c r="L774" s="2" t="s">
        <v>10</v>
      </c>
      <c r="M774" s="3">
        <v>45448</v>
      </c>
      <c r="N774" s="3" t="str">
        <f t="shared" si="50"/>
        <v>June</v>
      </c>
      <c r="O774" s="2" t="s">
        <v>14</v>
      </c>
      <c r="P774" t="str">
        <f t="shared" si="51"/>
        <v>OK</v>
      </c>
    </row>
    <row r="775" spans="1:16" x14ac:dyDescent="0.3">
      <c r="A775" s="2">
        <f t="shared" si="48"/>
        <v>774</v>
      </c>
      <c r="B775" s="2" t="s">
        <v>29</v>
      </c>
      <c r="C775" s="2" t="s">
        <v>15</v>
      </c>
      <c r="D775" s="1">
        <v>0.32400000000000001</v>
      </c>
      <c r="E775" s="1" t="str" cm="1">
        <f t="array" ref="E775">_xlfn.IFS(
D775&lt;20,"Light",
D775&lt;50,"Medium",
D775&lt;100,"Heavy",
D775&gt;=100,"Very Heavy")</f>
        <v>Light</v>
      </c>
      <c r="F775" s="2">
        <v>19</v>
      </c>
      <c r="G775" s="2" t="str" cm="1">
        <f t="array" ref="G775">_xlfn.IFS(
F775&lt;50,"Small",
F775&lt;100,"Medium",
F775&lt;150,"Large",
F775&gt;=150,"Very Large"
)</f>
        <v>Small</v>
      </c>
      <c r="H775" s="2" t="s">
        <v>32</v>
      </c>
      <c r="I775" s="2">
        <v>50.881376000000003</v>
      </c>
      <c r="J775" s="2">
        <v>14.367502999999999</v>
      </c>
      <c r="K775" s="2" t="str">
        <f t="shared" si="49"/>
        <v>Available</v>
      </c>
      <c r="L775" s="2" t="s">
        <v>10</v>
      </c>
      <c r="M775" s="3">
        <v>45449</v>
      </c>
      <c r="N775" s="3" t="str">
        <f t="shared" si="50"/>
        <v>June</v>
      </c>
      <c r="O775" s="2" t="s">
        <v>14</v>
      </c>
      <c r="P775" t="str">
        <f t="shared" si="51"/>
        <v>OK</v>
      </c>
    </row>
    <row r="776" spans="1:16" x14ac:dyDescent="0.3">
      <c r="A776" s="2">
        <f t="shared" si="48"/>
        <v>775</v>
      </c>
      <c r="B776" s="2" t="s">
        <v>29</v>
      </c>
      <c r="C776" s="2" t="s">
        <v>15</v>
      </c>
      <c r="D776" s="1">
        <v>0.32400000000000001</v>
      </c>
      <c r="E776" s="1" t="str" cm="1">
        <f t="array" ref="E776">_xlfn.IFS(
D776&lt;20,"Light",
D776&lt;50,"Medium",
D776&lt;100,"Heavy",
D776&gt;=100,"Very Heavy")</f>
        <v>Light</v>
      </c>
      <c r="F776" s="2">
        <v>19</v>
      </c>
      <c r="G776" s="2" t="str" cm="1">
        <f t="array" ref="G776">_xlfn.IFS(
F776&lt;50,"Small",
F776&lt;100,"Medium",
F776&lt;150,"Large",
F776&gt;=150,"Very Large"
)</f>
        <v>Small</v>
      </c>
      <c r="H776" s="2" t="s">
        <v>33</v>
      </c>
      <c r="I776" s="2">
        <v>50.883324999999999</v>
      </c>
      <c r="J776" s="2">
        <v>14.372463</v>
      </c>
      <c r="K776" s="2" t="str">
        <f t="shared" si="49"/>
        <v>Available</v>
      </c>
      <c r="L776" s="2" t="s">
        <v>10</v>
      </c>
      <c r="M776" s="3">
        <v>45449</v>
      </c>
      <c r="N776" s="3" t="str">
        <f t="shared" si="50"/>
        <v>June</v>
      </c>
      <c r="O776" s="2" t="s">
        <v>14</v>
      </c>
      <c r="P776" t="str">
        <f t="shared" si="51"/>
        <v>OK</v>
      </c>
    </row>
    <row r="777" spans="1:16" x14ac:dyDescent="0.3">
      <c r="A777" s="2">
        <f t="shared" si="48"/>
        <v>776</v>
      </c>
      <c r="B777" s="2" t="s">
        <v>28</v>
      </c>
      <c r="C777" s="2" t="s">
        <v>13</v>
      </c>
      <c r="D777" s="1">
        <v>19</v>
      </c>
      <c r="E777" s="1" t="str" cm="1">
        <f t="array" ref="E777">_xlfn.IFS(
D777&lt;20,"Light",
D777&lt;50,"Medium",
D777&lt;100,"Heavy",
D777&gt;=100,"Very Heavy")</f>
        <v>Light</v>
      </c>
      <c r="F777" s="2">
        <v>84</v>
      </c>
      <c r="G777" s="2" t="str" cm="1">
        <f t="array" ref="G777">_xlfn.IFS(
F777&lt;50,"Small",
F777&lt;100,"Medium",
F777&lt;150,"Large",
F777&gt;=150,"Very Large"
)</f>
        <v>Medium</v>
      </c>
      <c r="H777" s="2" t="s">
        <v>33</v>
      </c>
      <c r="I777" s="2">
        <v>48.408917000000002</v>
      </c>
      <c r="J777" s="2">
        <v>18.862915000000001</v>
      </c>
      <c r="K777" s="2" t="str">
        <f t="shared" si="49"/>
        <v>Available</v>
      </c>
      <c r="L777" s="2" t="s">
        <v>10</v>
      </c>
      <c r="M777" s="3">
        <v>45450</v>
      </c>
      <c r="N777" s="3" t="str">
        <f t="shared" si="50"/>
        <v>June</v>
      </c>
      <c r="O777" s="2" t="s">
        <v>14</v>
      </c>
      <c r="P777" t="str">
        <f t="shared" si="51"/>
        <v>OK</v>
      </c>
    </row>
    <row r="778" spans="1:16" x14ac:dyDescent="0.3">
      <c r="A778" s="2">
        <f t="shared" si="48"/>
        <v>777</v>
      </c>
      <c r="B778" s="2" t="s">
        <v>29</v>
      </c>
      <c r="C778" s="2" t="s">
        <v>15</v>
      </c>
      <c r="D778" s="1">
        <v>0.29099999999999998</v>
      </c>
      <c r="E778" s="1" t="str" cm="1">
        <f t="array" ref="E778">_xlfn.IFS(
D778&lt;20,"Light",
D778&lt;50,"Medium",
D778&lt;100,"Heavy",
D778&gt;=100,"Very Heavy")</f>
        <v>Light</v>
      </c>
      <c r="F778" s="2">
        <v>21</v>
      </c>
      <c r="G778" s="2" t="str" cm="1">
        <f t="array" ref="G778">_xlfn.IFS(
F778&lt;50,"Small",
F778&lt;100,"Medium",
F778&lt;150,"Large",
F778&gt;=150,"Very Large"
)</f>
        <v>Small</v>
      </c>
      <c r="H778" s="2" t="s">
        <v>33</v>
      </c>
      <c r="I778" s="2">
        <v>50.881428</v>
      </c>
      <c r="J778" s="2">
        <v>14.366688999999999</v>
      </c>
      <c r="K778" s="2" t="str">
        <f t="shared" si="49"/>
        <v>Available</v>
      </c>
      <c r="L778" s="2" t="s">
        <v>10</v>
      </c>
      <c r="M778" s="3">
        <v>45451</v>
      </c>
      <c r="N778" s="3" t="str">
        <f t="shared" si="50"/>
        <v>June</v>
      </c>
      <c r="O778" s="2" t="s">
        <v>14</v>
      </c>
      <c r="P778" t="str">
        <f t="shared" si="51"/>
        <v>OK</v>
      </c>
    </row>
    <row r="779" spans="1:16" x14ac:dyDescent="0.3">
      <c r="A779" s="2">
        <f t="shared" si="48"/>
        <v>778</v>
      </c>
      <c r="B779" s="2" t="s">
        <v>29</v>
      </c>
      <c r="C779" s="2" t="s">
        <v>15</v>
      </c>
      <c r="D779" s="1">
        <v>0.25800000000000001</v>
      </c>
      <c r="E779" s="1" t="str" cm="1">
        <f t="array" ref="E779">_xlfn.IFS(
D779&lt;20,"Light",
D779&lt;50,"Medium",
D779&lt;100,"Heavy",
D779&gt;=100,"Very Heavy")</f>
        <v>Light</v>
      </c>
      <c r="F779" s="2">
        <v>20</v>
      </c>
      <c r="G779" s="2" t="str" cm="1">
        <f t="array" ref="G779">_xlfn.IFS(
F779&lt;50,"Small",
F779&lt;100,"Medium",
F779&lt;150,"Large",
F779&gt;=150,"Very Large"
)</f>
        <v>Small</v>
      </c>
      <c r="H779" s="2" t="s">
        <v>32</v>
      </c>
      <c r="I779" s="2">
        <v>50.882641999999997</v>
      </c>
      <c r="J779" s="2">
        <v>14.372818000000001</v>
      </c>
      <c r="K779" s="2" t="str">
        <f t="shared" si="49"/>
        <v>Available</v>
      </c>
      <c r="L779" s="2" t="s">
        <v>10</v>
      </c>
      <c r="M779" s="3">
        <v>45451</v>
      </c>
      <c r="N779" s="3" t="str">
        <f t="shared" si="50"/>
        <v>June</v>
      </c>
      <c r="O779" s="2" t="s">
        <v>14</v>
      </c>
      <c r="P779" t="str">
        <f t="shared" si="51"/>
        <v>OK</v>
      </c>
    </row>
    <row r="780" spans="1:16" x14ac:dyDescent="0.3">
      <c r="A780" s="2">
        <f t="shared" si="48"/>
        <v>779</v>
      </c>
      <c r="B780" s="2" t="s">
        <v>29</v>
      </c>
      <c r="C780" s="2" t="s">
        <v>15</v>
      </c>
      <c r="D780" s="1">
        <v>0.33300000000000002</v>
      </c>
      <c r="E780" s="1" t="str" cm="1">
        <f t="array" ref="E780">_xlfn.IFS(
D780&lt;20,"Light",
D780&lt;50,"Medium",
D780&lt;100,"Heavy",
D780&gt;=100,"Very Heavy")</f>
        <v>Light</v>
      </c>
      <c r="F780" s="2">
        <v>23</v>
      </c>
      <c r="G780" s="2" t="str" cm="1">
        <f t="array" ref="G780">_xlfn.IFS(
F780&lt;50,"Small",
F780&lt;100,"Medium",
F780&lt;150,"Large",
F780&gt;=150,"Very Large"
)</f>
        <v>Small</v>
      </c>
      <c r="H780" s="2" t="s">
        <v>32</v>
      </c>
      <c r="I780" s="2">
        <v>50.883848999999998</v>
      </c>
      <c r="J780" s="2">
        <v>14.367353</v>
      </c>
      <c r="K780" s="2" t="str">
        <f t="shared" si="49"/>
        <v>Available</v>
      </c>
      <c r="L780" s="2" t="s">
        <v>10</v>
      </c>
      <c r="M780" s="3">
        <v>45453</v>
      </c>
      <c r="N780" s="3" t="str">
        <f t="shared" si="50"/>
        <v>June</v>
      </c>
      <c r="O780" s="2" t="s">
        <v>14</v>
      </c>
      <c r="P780" t="str">
        <f t="shared" si="51"/>
        <v>OK</v>
      </c>
    </row>
    <row r="781" spans="1:16" x14ac:dyDescent="0.3">
      <c r="A781" s="2">
        <f t="shared" si="48"/>
        <v>780</v>
      </c>
      <c r="B781" s="2" t="s">
        <v>29</v>
      </c>
      <c r="C781" s="2" t="s">
        <v>15</v>
      </c>
      <c r="D781" s="1">
        <v>0.27800000000000002</v>
      </c>
      <c r="E781" s="1" t="str" cm="1">
        <f t="array" ref="E781">_xlfn.IFS(
D781&lt;20,"Light",
D781&lt;50,"Medium",
D781&lt;100,"Heavy",
D781&gt;=100,"Very Heavy")</f>
        <v>Light</v>
      </c>
      <c r="F781" s="2">
        <v>18</v>
      </c>
      <c r="G781" s="2" t="str" cm="1">
        <f t="array" ref="G781">_xlfn.IFS(
F781&lt;50,"Small",
F781&lt;100,"Medium",
F781&lt;150,"Large",
F781&gt;=150,"Very Large"
)</f>
        <v>Small</v>
      </c>
      <c r="H781" s="2" t="s">
        <v>33</v>
      </c>
      <c r="I781" s="2">
        <v>50.884287999999998</v>
      </c>
      <c r="J781" s="2">
        <v>14.372837000000001</v>
      </c>
      <c r="K781" s="2" t="str">
        <f t="shared" si="49"/>
        <v>Available</v>
      </c>
      <c r="L781" s="2" t="s">
        <v>10</v>
      </c>
      <c r="M781" s="3">
        <v>45454</v>
      </c>
      <c r="N781" s="3" t="str">
        <f t="shared" si="50"/>
        <v>June</v>
      </c>
      <c r="O781" s="2" t="s">
        <v>14</v>
      </c>
      <c r="P781" t="str">
        <f t="shared" si="51"/>
        <v>OK</v>
      </c>
    </row>
    <row r="782" spans="1:16" x14ac:dyDescent="0.3">
      <c r="A782" s="2">
        <f t="shared" si="48"/>
        <v>781</v>
      </c>
      <c r="B782" s="2" t="s">
        <v>28</v>
      </c>
      <c r="C782" s="2" t="s">
        <v>13</v>
      </c>
      <c r="D782" s="1">
        <v>23</v>
      </c>
      <c r="E782" s="1" t="str" cm="1">
        <f t="array" ref="E782">_xlfn.IFS(
D782&lt;20,"Light",
D782&lt;50,"Medium",
D782&lt;100,"Heavy",
D782&gt;=100,"Very Heavy")</f>
        <v>Medium</v>
      </c>
      <c r="F782" s="2">
        <v>95</v>
      </c>
      <c r="G782" s="2" t="str" cm="1">
        <f t="array" ref="G782">_xlfn.IFS(
F782&lt;50,"Small",
F782&lt;100,"Medium",
F782&lt;150,"Large",
F782&gt;=150,"Very Large"
)</f>
        <v>Medium</v>
      </c>
      <c r="H782" s="2" t="s">
        <v>32</v>
      </c>
      <c r="I782" s="2">
        <v>48.411735999999998</v>
      </c>
      <c r="J782" s="2">
        <v>18.874597000000001</v>
      </c>
      <c r="K782" s="2" t="str">
        <f t="shared" si="49"/>
        <v>Available</v>
      </c>
      <c r="L782" s="2" t="s">
        <v>10</v>
      </c>
      <c r="M782" s="3">
        <v>45462</v>
      </c>
      <c r="N782" s="3" t="str">
        <f t="shared" si="50"/>
        <v>June</v>
      </c>
      <c r="O782" s="2" t="s">
        <v>14</v>
      </c>
      <c r="P782" t="str">
        <f t="shared" si="51"/>
        <v>OK</v>
      </c>
    </row>
    <row r="783" spans="1:16" x14ac:dyDescent="0.3">
      <c r="A783" s="2">
        <f t="shared" si="48"/>
        <v>782</v>
      </c>
      <c r="B783" s="2" t="s">
        <v>28</v>
      </c>
      <c r="C783" s="2" t="s">
        <v>13</v>
      </c>
      <c r="D783" s="1">
        <v>11</v>
      </c>
      <c r="E783" s="1" t="str" cm="1">
        <f t="array" ref="E783">_xlfn.IFS(
D783&lt;20,"Light",
D783&lt;50,"Medium",
D783&lt;100,"Heavy",
D783&gt;=100,"Very Heavy")</f>
        <v>Light</v>
      </c>
      <c r="F783" s="2">
        <v>52</v>
      </c>
      <c r="G783" s="2" t="str" cm="1">
        <f t="array" ref="G783">_xlfn.IFS(
F783&lt;50,"Small",
F783&lt;100,"Medium",
F783&lt;150,"Large",
F783&gt;=150,"Very Large"
)</f>
        <v>Medium</v>
      </c>
      <c r="H783" s="2" t="s">
        <v>33</v>
      </c>
      <c r="I783" s="2">
        <v>48.411790000000003</v>
      </c>
      <c r="J783" s="2">
        <v>18.871649999999999</v>
      </c>
      <c r="K783" s="2" t="str">
        <f t="shared" si="49"/>
        <v>Available</v>
      </c>
      <c r="L783" s="2" t="s">
        <v>10</v>
      </c>
      <c r="M783" s="3">
        <v>45462</v>
      </c>
      <c r="N783" s="3" t="str">
        <f t="shared" si="50"/>
        <v>June</v>
      </c>
      <c r="O783" s="2" t="s">
        <v>14</v>
      </c>
      <c r="P783" t="str">
        <f t="shared" si="51"/>
        <v>OK</v>
      </c>
    </row>
    <row r="784" spans="1:16" x14ac:dyDescent="0.3">
      <c r="A784" s="2">
        <f t="shared" si="48"/>
        <v>783</v>
      </c>
      <c r="B784" s="2" t="s">
        <v>28</v>
      </c>
      <c r="C784" s="2" t="s">
        <v>15</v>
      </c>
      <c r="D784" s="1">
        <v>25</v>
      </c>
      <c r="E784" s="1" t="str" cm="1">
        <f t="array" ref="E784">_xlfn.IFS(
D784&lt;20,"Light",
D784&lt;50,"Medium",
D784&lt;100,"Heavy",
D784&gt;=100,"Very Heavy")</f>
        <v>Medium</v>
      </c>
      <c r="F784" s="2">
        <v>97</v>
      </c>
      <c r="G784" s="2" t="str" cm="1">
        <f t="array" ref="G784">_xlfn.IFS(
F784&lt;50,"Small",
F784&lt;100,"Medium",
F784&lt;150,"Large",
F784&gt;=150,"Very Large"
)</f>
        <v>Medium</v>
      </c>
      <c r="H784" s="2" t="s">
        <v>33</v>
      </c>
      <c r="I784" s="2">
        <v>50.881003</v>
      </c>
      <c r="J784" s="2">
        <v>14.369286000000001</v>
      </c>
      <c r="K784" s="2" t="str">
        <f t="shared" si="49"/>
        <v>Available</v>
      </c>
      <c r="L784" s="2" t="s">
        <v>10</v>
      </c>
      <c r="M784" s="3">
        <v>45473</v>
      </c>
      <c r="N784" s="3" t="str">
        <f t="shared" si="50"/>
        <v>June</v>
      </c>
      <c r="O784" s="2" t="s">
        <v>14</v>
      </c>
      <c r="P784" t="str">
        <f t="shared" si="51"/>
        <v>OK</v>
      </c>
    </row>
    <row r="785" spans="1:16" x14ac:dyDescent="0.3">
      <c r="A785" s="2">
        <f t="shared" si="48"/>
        <v>784</v>
      </c>
      <c r="B785" s="2" t="s">
        <v>28</v>
      </c>
      <c r="C785" s="2" t="s">
        <v>13</v>
      </c>
      <c r="D785" s="1">
        <v>15</v>
      </c>
      <c r="E785" s="1" t="str" cm="1">
        <f t="array" ref="E785">_xlfn.IFS(
D785&lt;20,"Light",
D785&lt;50,"Medium",
D785&lt;100,"Heavy",
D785&gt;=100,"Very Heavy")</f>
        <v>Light</v>
      </c>
      <c r="F785" s="2">
        <v>65</v>
      </c>
      <c r="G785" s="2" t="str" cm="1">
        <f t="array" ref="G785">_xlfn.IFS(
F785&lt;50,"Small",
F785&lt;100,"Medium",
F785&lt;150,"Large",
F785&gt;=150,"Very Large"
)</f>
        <v>Medium</v>
      </c>
      <c r="H785" s="2" t="s">
        <v>33</v>
      </c>
      <c r="I785" s="2">
        <v>48.406339000000003</v>
      </c>
      <c r="J785" s="2">
        <v>18.841070999999999</v>
      </c>
      <c r="K785" s="2" t="str">
        <f t="shared" si="49"/>
        <v>Available</v>
      </c>
      <c r="L785" s="2" t="s">
        <v>10</v>
      </c>
      <c r="M785" s="3">
        <v>45358</v>
      </c>
      <c r="N785" s="3" t="str">
        <f t="shared" si="50"/>
        <v>March</v>
      </c>
      <c r="O785" s="2" t="s">
        <v>23</v>
      </c>
      <c r="P785" t="str">
        <f t="shared" si="51"/>
        <v>OK</v>
      </c>
    </row>
    <row r="786" spans="1:16" x14ac:dyDescent="0.3">
      <c r="A786" s="2">
        <f t="shared" si="48"/>
        <v>785</v>
      </c>
      <c r="B786" s="2" t="s">
        <v>28</v>
      </c>
      <c r="C786" s="2" t="s">
        <v>13</v>
      </c>
      <c r="D786" s="1">
        <v>18</v>
      </c>
      <c r="E786" s="1" t="str" cm="1">
        <f t="array" ref="E786">_xlfn.IFS(
D786&lt;20,"Light",
D786&lt;50,"Medium",
D786&lt;100,"Heavy",
D786&gt;=100,"Very Heavy")</f>
        <v>Light</v>
      </c>
      <c r="F786" s="2">
        <v>85</v>
      </c>
      <c r="G786" s="2" t="str" cm="1">
        <f t="array" ref="G786">_xlfn.IFS(
F786&lt;50,"Small",
F786&lt;100,"Medium",
F786&lt;150,"Large",
F786&gt;=150,"Very Large"
)</f>
        <v>Medium</v>
      </c>
      <c r="H786" s="2" t="s">
        <v>32</v>
      </c>
      <c r="I786" s="2">
        <v>48.411729000000001</v>
      </c>
      <c r="J786" s="2">
        <v>18.835591000000001</v>
      </c>
      <c r="K786" s="2" t="str">
        <f t="shared" si="49"/>
        <v>Available</v>
      </c>
      <c r="L786" s="2" t="s">
        <v>10</v>
      </c>
      <c r="M786" s="3">
        <v>45358</v>
      </c>
      <c r="N786" s="3" t="str">
        <f t="shared" si="50"/>
        <v>March</v>
      </c>
      <c r="O786" s="2" t="s">
        <v>23</v>
      </c>
      <c r="P786" t="str">
        <f t="shared" si="51"/>
        <v>OK</v>
      </c>
    </row>
    <row r="787" spans="1:16" x14ac:dyDescent="0.3">
      <c r="A787" s="2">
        <f t="shared" si="48"/>
        <v>786</v>
      </c>
      <c r="B787" s="2" t="s">
        <v>29</v>
      </c>
      <c r="C787" s="2" t="s">
        <v>13</v>
      </c>
      <c r="D787" s="1">
        <v>0.29699999999999999</v>
      </c>
      <c r="E787" s="1" t="str" cm="1">
        <f t="array" ref="E787">_xlfn.IFS(
D787&lt;20,"Light",
D787&lt;50,"Medium",
D787&lt;100,"Heavy",
D787&gt;=100,"Very Heavy")</f>
        <v>Light</v>
      </c>
      <c r="F787" s="2">
        <v>20</v>
      </c>
      <c r="G787" s="2" t="str" cm="1">
        <f t="array" ref="G787">_xlfn.IFS(
F787&lt;50,"Small",
F787&lt;100,"Medium",
F787&lt;150,"Large",
F787&gt;=150,"Very Large"
)</f>
        <v>Small</v>
      </c>
      <c r="H787" s="2" t="s">
        <v>10</v>
      </c>
      <c r="I787" s="2">
        <v>49.054132000000003</v>
      </c>
      <c r="J787" s="2">
        <v>22.411066000000002</v>
      </c>
      <c r="K787" s="2" t="str">
        <f t="shared" si="49"/>
        <v>Available</v>
      </c>
      <c r="L787" s="2" t="s">
        <v>10</v>
      </c>
      <c r="M787" s="3">
        <v>45358</v>
      </c>
      <c r="N787" s="3" t="str">
        <f t="shared" si="50"/>
        <v>March</v>
      </c>
      <c r="O787" s="2" t="s">
        <v>23</v>
      </c>
      <c r="P787" t="str">
        <f t="shared" si="51"/>
        <v>OK</v>
      </c>
    </row>
    <row r="788" spans="1:16" x14ac:dyDescent="0.3">
      <c r="A788" s="2">
        <f t="shared" si="48"/>
        <v>787</v>
      </c>
      <c r="B788" s="2" t="s">
        <v>29</v>
      </c>
      <c r="C788" s="2" t="s">
        <v>13</v>
      </c>
      <c r="D788" s="1">
        <v>0.27300000000000002</v>
      </c>
      <c r="E788" s="1" t="str" cm="1">
        <f t="array" ref="E788">_xlfn.IFS(
D788&lt;20,"Light",
D788&lt;50,"Medium",
D788&lt;100,"Heavy",
D788&gt;=100,"Very Heavy")</f>
        <v>Light</v>
      </c>
      <c r="F788" s="2">
        <v>23</v>
      </c>
      <c r="G788" s="2" t="str" cm="1">
        <f t="array" ref="G788">_xlfn.IFS(
F788&lt;50,"Small",
F788&lt;100,"Medium",
F788&lt;150,"Large",
F788&gt;=150,"Very Large"
)</f>
        <v>Small</v>
      </c>
      <c r="H788" s="2" t="s">
        <v>33</v>
      </c>
      <c r="I788" s="2">
        <v>49.055962000000001</v>
      </c>
      <c r="J788" s="2">
        <v>22.425526999999999</v>
      </c>
      <c r="K788" s="2" t="str">
        <f t="shared" si="49"/>
        <v>Available</v>
      </c>
      <c r="L788" s="2" t="s">
        <v>10</v>
      </c>
      <c r="M788" s="3">
        <v>45358</v>
      </c>
      <c r="N788" s="3" t="str">
        <f t="shared" si="50"/>
        <v>March</v>
      </c>
      <c r="O788" s="2" t="s">
        <v>23</v>
      </c>
      <c r="P788" t="str">
        <f t="shared" si="51"/>
        <v>OK</v>
      </c>
    </row>
    <row r="789" spans="1:16" x14ac:dyDescent="0.3">
      <c r="A789" s="2">
        <f t="shared" si="48"/>
        <v>788</v>
      </c>
      <c r="B789" s="2" t="s">
        <v>29</v>
      </c>
      <c r="C789" s="2" t="s">
        <v>13</v>
      </c>
      <c r="D789" s="1">
        <v>0.254</v>
      </c>
      <c r="E789" s="1" t="str" cm="1">
        <f t="array" ref="E789">_xlfn.IFS(
D789&lt;20,"Light",
D789&lt;50,"Medium",
D789&lt;100,"Heavy",
D789&gt;=100,"Very Heavy")</f>
        <v>Light</v>
      </c>
      <c r="F789" s="2">
        <v>19</v>
      </c>
      <c r="G789" s="2" t="str" cm="1">
        <f t="array" ref="G789">_xlfn.IFS(
F789&lt;50,"Small",
F789&lt;100,"Medium",
F789&lt;150,"Large",
F789&gt;=150,"Very Large"
)</f>
        <v>Small</v>
      </c>
      <c r="H789" s="2" t="s">
        <v>32</v>
      </c>
      <c r="I789" s="2">
        <v>49.055646000000003</v>
      </c>
      <c r="J789" s="2">
        <v>22.412458000000001</v>
      </c>
      <c r="K789" s="2" t="str">
        <f t="shared" si="49"/>
        <v>Available</v>
      </c>
      <c r="L789" s="2" t="s">
        <v>10</v>
      </c>
      <c r="M789" s="3">
        <v>45358</v>
      </c>
      <c r="N789" s="3" t="str">
        <f t="shared" si="50"/>
        <v>March</v>
      </c>
      <c r="O789" s="2" t="s">
        <v>23</v>
      </c>
      <c r="P789" t="str">
        <f t="shared" si="51"/>
        <v>OK</v>
      </c>
    </row>
    <row r="790" spans="1:16" x14ac:dyDescent="0.3">
      <c r="A790" s="2">
        <f t="shared" si="48"/>
        <v>789</v>
      </c>
      <c r="B790" s="2" t="s">
        <v>29</v>
      </c>
      <c r="C790" s="2" t="s">
        <v>13</v>
      </c>
      <c r="D790" s="1">
        <v>0.30499999999999999</v>
      </c>
      <c r="E790" s="1" t="str" cm="1">
        <f t="array" ref="E790">_xlfn.IFS(
D790&lt;20,"Light",
D790&lt;50,"Medium",
D790&lt;100,"Heavy",
D790&gt;=100,"Very Heavy")</f>
        <v>Light</v>
      </c>
      <c r="F790" s="2">
        <v>20</v>
      </c>
      <c r="G790" s="2" t="str" cm="1">
        <f t="array" ref="G790">_xlfn.IFS(
F790&lt;50,"Small",
F790&lt;100,"Medium",
F790&lt;150,"Large",
F790&gt;=150,"Very Large"
)</f>
        <v>Small</v>
      </c>
      <c r="H790" s="2" t="s">
        <v>33</v>
      </c>
      <c r="I790" s="2">
        <v>49.052909999999997</v>
      </c>
      <c r="J790" s="2">
        <v>22.420860999999999</v>
      </c>
      <c r="K790" s="2" t="str">
        <f t="shared" si="49"/>
        <v>Available</v>
      </c>
      <c r="L790" s="2" t="s">
        <v>10</v>
      </c>
      <c r="M790" s="3">
        <v>45358</v>
      </c>
      <c r="N790" s="3" t="str">
        <f t="shared" si="50"/>
        <v>March</v>
      </c>
      <c r="O790" s="2" t="s">
        <v>23</v>
      </c>
      <c r="P790" t="str">
        <f t="shared" si="51"/>
        <v>OK</v>
      </c>
    </row>
    <row r="791" spans="1:16" x14ac:dyDescent="0.3">
      <c r="A791" s="2">
        <f t="shared" si="48"/>
        <v>790</v>
      </c>
      <c r="B791" s="2" t="s">
        <v>29</v>
      </c>
      <c r="C791" s="2" t="s">
        <v>13</v>
      </c>
      <c r="D791" s="1">
        <v>0.32700000000000001</v>
      </c>
      <c r="E791" s="1" t="str" cm="1">
        <f t="array" ref="E791">_xlfn.IFS(
D791&lt;20,"Light",
D791&lt;50,"Medium",
D791&lt;100,"Heavy",
D791&gt;=100,"Very Heavy")</f>
        <v>Light</v>
      </c>
      <c r="F791" s="2">
        <v>19</v>
      </c>
      <c r="G791" s="2" t="str" cm="1">
        <f t="array" ref="G791">_xlfn.IFS(
F791&lt;50,"Small",
F791&lt;100,"Medium",
F791&lt;150,"Large",
F791&gt;=150,"Very Large"
)</f>
        <v>Small</v>
      </c>
      <c r="H791" s="2" t="s">
        <v>33</v>
      </c>
      <c r="I791" s="2">
        <v>49.055546999999997</v>
      </c>
      <c r="J791" s="2">
        <v>22.411172000000001</v>
      </c>
      <c r="K791" s="2" t="str">
        <f t="shared" si="49"/>
        <v>Available</v>
      </c>
      <c r="L791" s="2" t="s">
        <v>10</v>
      </c>
      <c r="M791" s="3">
        <v>45358</v>
      </c>
      <c r="N791" s="3" t="str">
        <f t="shared" si="50"/>
        <v>March</v>
      </c>
      <c r="O791" s="2" t="s">
        <v>23</v>
      </c>
      <c r="P791" t="str">
        <f t="shared" si="51"/>
        <v>OK</v>
      </c>
    </row>
    <row r="792" spans="1:16" x14ac:dyDescent="0.3">
      <c r="A792" s="2">
        <f t="shared" si="48"/>
        <v>791</v>
      </c>
      <c r="B792" s="2" t="s">
        <v>29</v>
      </c>
      <c r="C792" s="2" t="s">
        <v>13</v>
      </c>
      <c r="D792" s="1">
        <v>0.30499999999999999</v>
      </c>
      <c r="E792" s="1" t="str" cm="1">
        <f t="array" ref="E792">_xlfn.IFS(
D792&lt;20,"Light",
D792&lt;50,"Medium",
D792&lt;100,"Heavy",
D792&gt;=100,"Very Heavy")</f>
        <v>Light</v>
      </c>
      <c r="F792" s="2">
        <v>20</v>
      </c>
      <c r="G792" s="2" t="str" cm="1">
        <f t="array" ref="G792">_xlfn.IFS(
F792&lt;50,"Small",
F792&lt;100,"Medium",
F792&lt;150,"Large",
F792&gt;=150,"Very Large"
)</f>
        <v>Small</v>
      </c>
      <c r="H792" s="2" t="s">
        <v>32</v>
      </c>
      <c r="I792" s="2">
        <v>49.054647000000003</v>
      </c>
      <c r="J792" s="2">
        <v>22.410444999999999</v>
      </c>
      <c r="K792" s="2" t="str">
        <f t="shared" si="49"/>
        <v>Available</v>
      </c>
      <c r="L792" s="2" t="s">
        <v>10</v>
      </c>
      <c r="M792" s="3">
        <v>45358</v>
      </c>
      <c r="N792" s="3" t="str">
        <f t="shared" si="50"/>
        <v>March</v>
      </c>
      <c r="O792" s="2" t="s">
        <v>23</v>
      </c>
      <c r="P792" t="str">
        <f t="shared" si="51"/>
        <v>OK</v>
      </c>
    </row>
    <row r="793" spans="1:16" x14ac:dyDescent="0.3">
      <c r="A793" s="2">
        <f t="shared" si="48"/>
        <v>792</v>
      </c>
      <c r="B793" s="2" t="s">
        <v>30</v>
      </c>
      <c r="C793" s="2" t="s">
        <v>13</v>
      </c>
      <c r="D793" s="1">
        <v>1</v>
      </c>
      <c r="E793" s="1" t="str" cm="1">
        <f t="array" ref="E793">_xlfn.IFS(
D793&lt;20,"Light",
D793&lt;50,"Medium",
D793&lt;100,"Heavy",
D793&gt;=100,"Very Heavy")</f>
        <v>Light</v>
      </c>
      <c r="F793" s="2">
        <v>17</v>
      </c>
      <c r="G793" s="2" t="str" cm="1">
        <f t="array" ref="G793">_xlfn.IFS(
F793&lt;50,"Small",
F793&lt;100,"Medium",
F793&lt;150,"Large",
F793&gt;=150,"Very Large"
)</f>
        <v>Small</v>
      </c>
      <c r="H793" s="2" t="s">
        <v>32</v>
      </c>
      <c r="I793" s="2">
        <v>48.226063000000003</v>
      </c>
      <c r="J793" s="2">
        <v>17.078596000000001</v>
      </c>
      <c r="K793" s="2" t="str">
        <f t="shared" si="49"/>
        <v>Available</v>
      </c>
      <c r="L793" s="2" t="s">
        <v>10</v>
      </c>
      <c r="M793" s="3">
        <v>45419</v>
      </c>
      <c r="N793" s="3" t="str">
        <f t="shared" si="50"/>
        <v>May</v>
      </c>
      <c r="O793" s="2" t="s">
        <v>23</v>
      </c>
      <c r="P793" t="str">
        <f t="shared" si="51"/>
        <v>OK</v>
      </c>
    </row>
    <row r="794" spans="1:16" x14ac:dyDescent="0.3">
      <c r="A794" s="2">
        <f t="shared" si="48"/>
        <v>793</v>
      </c>
      <c r="B794" s="2" t="s">
        <v>30</v>
      </c>
      <c r="C794" s="2" t="s">
        <v>13</v>
      </c>
      <c r="D794" s="1">
        <v>0.6</v>
      </c>
      <c r="E794" s="1" t="str" cm="1">
        <f t="array" ref="E794">_xlfn.IFS(
D794&lt;20,"Light",
D794&lt;50,"Medium",
D794&lt;100,"Heavy",
D794&gt;=100,"Very Heavy")</f>
        <v>Light</v>
      </c>
      <c r="F794" s="2">
        <v>16</v>
      </c>
      <c r="G794" s="2" t="str" cm="1">
        <f t="array" ref="G794">_xlfn.IFS(
F794&lt;50,"Small",
F794&lt;100,"Medium",
F794&lt;150,"Large",
F794&gt;=150,"Very Large"
)</f>
        <v>Small</v>
      </c>
      <c r="H794" s="2" t="s">
        <v>33</v>
      </c>
      <c r="I794" s="2">
        <v>48.238067000000001</v>
      </c>
      <c r="J794" s="2">
        <v>17.090890999999999</v>
      </c>
      <c r="K794" s="2" t="str">
        <f t="shared" si="49"/>
        <v>Available</v>
      </c>
      <c r="L794" s="2" t="s">
        <v>10</v>
      </c>
      <c r="M794" s="3">
        <v>45419</v>
      </c>
      <c r="N794" s="3" t="str">
        <f t="shared" si="50"/>
        <v>May</v>
      </c>
      <c r="O794" s="2" t="s">
        <v>23</v>
      </c>
      <c r="P794" t="str">
        <f t="shared" si="51"/>
        <v>OK</v>
      </c>
    </row>
    <row r="795" spans="1:16" x14ac:dyDescent="0.3">
      <c r="A795" s="2">
        <f t="shared" si="48"/>
        <v>794</v>
      </c>
      <c r="B795" s="2" t="s">
        <v>30</v>
      </c>
      <c r="C795" s="2" t="s">
        <v>13</v>
      </c>
      <c r="D795" s="1">
        <v>1.1000000000000001</v>
      </c>
      <c r="E795" s="1" t="str" cm="1">
        <f t="array" ref="E795">_xlfn.IFS(
D795&lt;20,"Light",
D795&lt;50,"Medium",
D795&lt;100,"Heavy",
D795&gt;=100,"Very Heavy")</f>
        <v>Light</v>
      </c>
      <c r="F795" s="2">
        <v>20</v>
      </c>
      <c r="G795" s="2" t="str" cm="1">
        <f t="array" ref="G795">_xlfn.IFS(
F795&lt;50,"Small",
F795&lt;100,"Medium",
F795&lt;150,"Large",
F795&gt;=150,"Very Large"
)</f>
        <v>Small</v>
      </c>
      <c r="H795" s="2" t="s">
        <v>33</v>
      </c>
      <c r="I795" s="2">
        <v>48.239539999999998</v>
      </c>
      <c r="J795" s="2">
        <v>17.066718999999999</v>
      </c>
      <c r="K795" s="2" t="str">
        <f t="shared" si="49"/>
        <v>Available</v>
      </c>
      <c r="L795" s="2" t="s">
        <v>10</v>
      </c>
      <c r="M795" s="3">
        <v>45419</v>
      </c>
      <c r="N795" s="3" t="str">
        <f t="shared" si="50"/>
        <v>May</v>
      </c>
      <c r="O795" s="2" t="s">
        <v>23</v>
      </c>
      <c r="P795" t="str">
        <f t="shared" si="51"/>
        <v>OK</v>
      </c>
    </row>
    <row r="796" spans="1:16" x14ac:dyDescent="0.3">
      <c r="A796" s="2">
        <f t="shared" si="48"/>
        <v>795</v>
      </c>
      <c r="B796" s="2" t="s">
        <v>29</v>
      </c>
      <c r="C796" s="2" t="s">
        <v>13</v>
      </c>
      <c r="D796" s="1">
        <v>0.32700000000000001</v>
      </c>
      <c r="E796" s="1" t="str" cm="1">
        <f t="array" ref="E796">_xlfn.IFS(
D796&lt;20,"Light",
D796&lt;50,"Medium",
D796&lt;100,"Heavy",
D796&gt;=100,"Very Heavy")</f>
        <v>Light</v>
      </c>
      <c r="F796" s="2">
        <v>23</v>
      </c>
      <c r="G796" s="2" t="str" cm="1">
        <f t="array" ref="G796">_xlfn.IFS(
F796&lt;50,"Small",
F796&lt;100,"Medium",
F796&lt;150,"Large",
F796&gt;=150,"Very Large"
)</f>
        <v>Small</v>
      </c>
      <c r="H796" s="2" t="s">
        <v>32</v>
      </c>
      <c r="I796" s="2">
        <v>49.057284000000003</v>
      </c>
      <c r="J796" s="2">
        <v>22.423860999999999</v>
      </c>
      <c r="K796" s="2" t="str">
        <f t="shared" si="49"/>
        <v>Available</v>
      </c>
      <c r="L796" s="2" t="s">
        <v>10</v>
      </c>
      <c r="M796" s="3">
        <v>45359</v>
      </c>
      <c r="N796" s="3" t="str">
        <f t="shared" si="50"/>
        <v>March</v>
      </c>
      <c r="O796" s="2" t="s">
        <v>23</v>
      </c>
      <c r="P796" t="str">
        <f t="shared" si="51"/>
        <v>OK</v>
      </c>
    </row>
    <row r="797" spans="1:16" x14ac:dyDescent="0.3">
      <c r="A797" s="2">
        <f t="shared" si="48"/>
        <v>796</v>
      </c>
      <c r="B797" s="2" t="s">
        <v>29</v>
      </c>
      <c r="C797" s="2" t="s">
        <v>13</v>
      </c>
      <c r="D797" s="1">
        <v>0.31900000000000001</v>
      </c>
      <c r="E797" s="1" t="str" cm="1">
        <f t="array" ref="E797">_xlfn.IFS(
D797&lt;20,"Light",
D797&lt;50,"Medium",
D797&lt;100,"Heavy",
D797&gt;=100,"Very Heavy")</f>
        <v>Light</v>
      </c>
      <c r="F797" s="2">
        <v>22</v>
      </c>
      <c r="G797" s="2" t="str" cm="1">
        <f t="array" ref="G797">_xlfn.IFS(
F797&lt;50,"Small",
F797&lt;100,"Medium",
F797&lt;150,"Large",
F797&gt;=150,"Very Large"
)</f>
        <v>Small</v>
      </c>
      <c r="H797" s="2" t="s">
        <v>33</v>
      </c>
      <c r="I797" s="2">
        <v>49.054751000000003</v>
      </c>
      <c r="J797" s="2">
        <v>22.419160000000002</v>
      </c>
      <c r="K797" s="2" t="str">
        <f t="shared" si="49"/>
        <v>Available</v>
      </c>
      <c r="L797" s="2" t="s">
        <v>10</v>
      </c>
      <c r="M797" s="3">
        <v>45359</v>
      </c>
      <c r="N797" s="3" t="str">
        <f t="shared" si="50"/>
        <v>March</v>
      </c>
      <c r="O797" s="2" t="s">
        <v>23</v>
      </c>
      <c r="P797" t="str">
        <f t="shared" si="51"/>
        <v>OK</v>
      </c>
    </row>
    <row r="798" spans="1:16" x14ac:dyDescent="0.3">
      <c r="A798" s="2">
        <f t="shared" si="48"/>
        <v>797</v>
      </c>
      <c r="B798" s="2" t="s">
        <v>29</v>
      </c>
      <c r="C798" s="2" t="s">
        <v>13</v>
      </c>
      <c r="D798" s="1">
        <v>0.30299999999999999</v>
      </c>
      <c r="E798" s="1" t="str" cm="1">
        <f t="array" ref="E798">_xlfn.IFS(
D798&lt;20,"Light",
D798&lt;50,"Medium",
D798&lt;100,"Heavy",
D798&gt;=100,"Very Heavy")</f>
        <v>Light</v>
      </c>
      <c r="F798" s="2">
        <v>20</v>
      </c>
      <c r="G798" s="2" t="str" cm="1">
        <f t="array" ref="G798">_xlfn.IFS(
F798&lt;50,"Small",
F798&lt;100,"Medium",
F798&lt;150,"Large",
F798&gt;=150,"Very Large"
)</f>
        <v>Small</v>
      </c>
      <c r="H798" s="2" t="s">
        <v>32</v>
      </c>
      <c r="I798" s="2">
        <v>49.055929999999996</v>
      </c>
      <c r="J798" s="2">
        <v>22.424085000000002</v>
      </c>
      <c r="K798" s="2" t="str">
        <f t="shared" si="49"/>
        <v>Available</v>
      </c>
      <c r="L798" s="2" t="s">
        <v>10</v>
      </c>
      <c r="M798" s="3">
        <v>45359</v>
      </c>
      <c r="N798" s="3" t="str">
        <f t="shared" si="50"/>
        <v>March</v>
      </c>
      <c r="O798" s="2" t="s">
        <v>23</v>
      </c>
      <c r="P798" t="str">
        <f t="shared" si="51"/>
        <v>OK</v>
      </c>
    </row>
    <row r="799" spans="1:16" x14ac:dyDescent="0.3">
      <c r="A799" s="2">
        <f t="shared" si="48"/>
        <v>798</v>
      </c>
      <c r="B799" s="2" t="s">
        <v>28</v>
      </c>
      <c r="C799" s="2" t="s">
        <v>13</v>
      </c>
      <c r="D799" s="1">
        <v>12</v>
      </c>
      <c r="E799" s="1" t="str" cm="1">
        <f t="array" ref="E799">_xlfn.IFS(
D799&lt;20,"Light",
D799&lt;50,"Medium",
D799&lt;100,"Heavy",
D799&gt;=100,"Very Heavy")</f>
        <v>Light</v>
      </c>
      <c r="F799" s="2">
        <v>61</v>
      </c>
      <c r="G799" s="2" t="str" cm="1">
        <f t="array" ref="G799">_xlfn.IFS(
F799&lt;50,"Small",
F799&lt;100,"Medium",
F799&lt;150,"Large",
F799&gt;=150,"Very Large"
)</f>
        <v>Medium</v>
      </c>
      <c r="H799" s="2" t="s">
        <v>32</v>
      </c>
      <c r="I799" s="2">
        <v>48.413927999999999</v>
      </c>
      <c r="J799" s="2">
        <v>18.835280999999998</v>
      </c>
      <c r="K799" s="2" t="str">
        <f t="shared" si="49"/>
        <v>Available</v>
      </c>
      <c r="L799" s="2" t="s">
        <v>10</v>
      </c>
      <c r="M799" s="3">
        <v>45360</v>
      </c>
      <c r="N799" s="3" t="str">
        <f t="shared" si="50"/>
        <v>March</v>
      </c>
      <c r="O799" s="2" t="s">
        <v>23</v>
      </c>
      <c r="P799" t="str">
        <f t="shared" si="51"/>
        <v>OK</v>
      </c>
    </row>
    <row r="800" spans="1:16" x14ac:dyDescent="0.3">
      <c r="A800" s="2">
        <f t="shared" si="48"/>
        <v>799</v>
      </c>
      <c r="B800" s="2" t="s">
        <v>29</v>
      </c>
      <c r="C800" s="2" t="s">
        <v>13</v>
      </c>
      <c r="D800" s="1">
        <v>0.309</v>
      </c>
      <c r="E800" s="1" t="str" cm="1">
        <f t="array" ref="E800">_xlfn.IFS(
D800&lt;20,"Light",
D800&lt;50,"Medium",
D800&lt;100,"Heavy",
D800&gt;=100,"Very Heavy")</f>
        <v>Light</v>
      </c>
      <c r="F800" s="2">
        <v>20</v>
      </c>
      <c r="G800" s="2" t="str" cm="1">
        <f t="array" ref="G800">_xlfn.IFS(
F800&lt;50,"Small",
F800&lt;100,"Medium",
F800&lt;150,"Large",
F800&gt;=150,"Very Large"
)</f>
        <v>Small</v>
      </c>
      <c r="H800" s="2" t="s">
        <v>33</v>
      </c>
      <c r="I800" s="2">
        <v>49.057758</v>
      </c>
      <c r="J800" s="2">
        <v>22.415168999999999</v>
      </c>
      <c r="K800" s="2" t="str">
        <f t="shared" si="49"/>
        <v>Available</v>
      </c>
      <c r="L800" s="2" t="s">
        <v>10</v>
      </c>
      <c r="M800" s="3">
        <v>45360</v>
      </c>
      <c r="N800" s="3" t="str">
        <f t="shared" si="50"/>
        <v>March</v>
      </c>
      <c r="O800" s="2" t="s">
        <v>23</v>
      </c>
      <c r="P800" t="str">
        <f t="shared" si="51"/>
        <v>OK</v>
      </c>
    </row>
    <row r="801" spans="1:16" x14ac:dyDescent="0.3">
      <c r="A801" s="2">
        <f t="shared" si="48"/>
        <v>800</v>
      </c>
      <c r="B801" s="2" t="s">
        <v>29</v>
      </c>
      <c r="C801" s="2" t="s">
        <v>13</v>
      </c>
      <c r="D801" s="1">
        <v>0.33200000000000002</v>
      </c>
      <c r="E801" s="1" t="str" cm="1">
        <f t="array" ref="E801">_xlfn.IFS(
D801&lt;20,"Light",
D801&lt;50,"Medium",
D801&lt;100,"Heavy",
D801&gt;=100,"Very Heavy")</f>
        <v>Light</v>
      </c>
      <c r="F801" s="2">
        <v>19</v>
      </c>
      <c r="G801" s="2" t="str" cm="1">
        <f t="array" ref="G801">_xlfn.IFS(
F801&lt;50,"Small",
F801&lt;100,"Medium",
F801&lt;150,"Large",
F801&gt;=150,"Very Large"
)</f>
        <v>Small</v>
      </c>
      <c r="H801" s="2" t="s">
        <v>32</v>
      </c>
      <c r="I801" s="2">
        <v>48.185695000000003</v>
      </c>
      <c r="J801" s="2">
        <v>17.090741999999999</v>
      </c>
      <c r="K801" s="2" t="str">
        <f t="shared" si="49"/>
        <v>Available</v>
      </c>
      <c r="L801" s="2" t="s">
        <v>10</v>
      </c>
      <c r="M801" s="3">
        <v>45360</v>
      </c>
      <c r="N801" s="3" t="str">
        <f t="shared" si="50"/>
        <v>March</v>
      </c>
      <c r="O801" s="2" t="s">
        <v>23</v>
      </c>
      <c r="P801" t="str">
        <f t="shared" si="51"/>
        <v>OK</v>
      </c>
    </row>
    <row r="802" spans="1:16" x14ac:dyDescent="0.3">
      <c r="A802" s="2">
        <f t="shared" si="48"/>
        <v>801</v>
      </c>
      <c r="B802" s="2" t="s">
        <v>29</v>
      </c>
      <c r="C802" s="2" t="s">
        <v>13</v>
      </c>
      <c r="D802" s="1">
        <v>0.33100000000000002</v>
      </c>
      <c r="E802" s="1" t="str" cm="1">
        <f t="array" ref="E802">_xlfn.IFS(
D802&lt;20,"Light",
D802&lt;50,"Medium",
D802&lt;100,"Heavy",
D802&gt;=100,"Very Heavy")</f>
        <v>Light</v>
      </c>
      <c r="F802" s="2">
        <v>18</v>
      </c>
      <c r="G802" s="2" t="str" cm="1">
        <f t="array" ref="G802">_xlfn.IFS(
F802&lt;50,"Small",
F802&lt;100,"Medium",
F802&lt;150,"Large",
F802&gt;=150,"Very Large"
)</f>
        <v>Small</v>
      </c>
      <c r="H802" s="2" t="s">
        <v>33</v>
      </c>
      <c r="I802" s="2">
        <v>48.186039999999998</v>
      </c>
      <c r="J802" s="2">
        <v>17.091146999999999</v>
      </c>
      <c r="K802" s="2" t="str">
        <f t="shared" si="49"/>
        <v>Available</v>
      </c>
      <c r="L802" s="2" t="s">
        <v>10</v>
      </c>
      <c r="M802" s="3">
        <v>45362</v>
      </c>
      <c r="N802" s="3" t="str">
        <f t="shared" si="50"/>
        <v>March</v>
      </c>
      <c r="O802" s="2" t="s">
        <v>23</v>
      </c>
      <c r="P802" t="str">
        <f t="shared" si="51"/>
        <v>OK</v>
      </c>
    </row>
    <row r="803" spans="1:16" x14ac:dyDescent="0.3">
      <c r="A803" s="2">
        <f t="shared" si="48"/>
        <v>802</v>
      </c>
      <c r="B803" s="2" t="s">
        <v>30</v>
      </c>
      <c r="C803" s="2" t="s">
        <v>7</v>
      </c>
      <c r="D803" s="1">
        <v>0.84565217391304304</v>
      </c>
      <c r="E803" s="1" t="str" cm="1">
        <f t="array" ref="E803">_xlfn.IFS(
D803&lt;20,"Light",
D803&lt;50,"Medium",
D803&lt;100,"Heavy",
D803&gt;=100,"Very Heavy")</f>
        <v>Light</v>
      </c>
      <c r="F803" s="2">
        <v>20.985294117647001</v>
      </c>
      <c r="G803" s="2" t="str" cm="1">
        <f t="array" ref="G803">_xlfn.IFS(
F803&lt;50,"Small",
F803&lt;100,"Medium",
F803&lt;150,"Large",
F803&gt;=150,"Very Large"
)</f>
        <v>Small</v>
      </c>
      <c r="H803" s="2" t="s">
        <v>32</v>
      </c>
      <c r="I803" s="2">
        <v>47.509754999999998</v>
      </c>
      <c r="J803" s="2">
        <v>18.949465</v>
      </c>
      <c r="K803" s="2" t="str">
        <f t="shared" si="49"/>
        <v>Available</v>
      </c>
      <c r="L803" s="2" t="s">
        <v>10</v>
      </c>
      <c r="M803" s="3">
        <v>45413</v>
      </c>
      <c r="N803" s="3" t="str">
        <f t="shared" si="50"/>
        <v>May</v>
      </c>
      <c r="O803" s="2" t="s">
        <v>6</v>
      </c>
      <c r="P803" t="str">
        <f t="shared" si="51"/>
        <v>OK</v>
      </c>
    </row>
    <row r="804" spans="1:16" x14ac:dyDescent="0.3">
      <c r="A804" s="2">
        <f t="shared" si="48"/>
        <v>803</v>
      </c>
      <c r="B804" s="2" t="s">
        <v>30</v>
      </c>
      <c r="C804" s="2" t="s">
        <v>7</v>
      </c>
      <c r="D804" s="1">
        <v>0.9</v>
      </c>
      <c r="E804" s="1" t="str" cm="1">
        <f t="array" ref="E804">_xlfn.IFS(
D804&lt;20,"Light",
D804&lt;50,"Medium",
D804&lt;100,"Heavy",
D804&gt;=100,"Very Heavy")</f>
        <v>Light</v>
      </c>
      <c r="F804" s="2">
        <v>16</v>
      </c>
      <c r="G804" s="2" t="str" cm="1">
        <f t="array" ref="G804">_xlfn.IFS(
F804&lt;50,"Small",
F804&lt;100,"Medium",
F804&lt;150,"Large",
F804&gt;=150,"Very Large"
)</f>
        <v>Small</v>
      </c>
      <c r="H804" s="2" t="s">
        <v>33</v>
      </c>
      <c r="I804" s="2">
        <v>47.507052999999999</v>
      </c>
      <c r="J804" s="2">
        <v>18.943306</v>
      </c>
      <c r="K804" s="2" t="str">
        <f t="shared" si="49"/>
        <v>Available</v>
      </c>
      <c r="L804" s="2" t="s">
        <v>10</v>
      </c>
      <c r="M804" s="3">
        <v>45413</v>
      </c>
      <c r="N804" s="3" t="str">
        <f t="shared" si="50"/>
        <v>May</v>
      </c>
      <c r="O804" s="2" t="s">
        <v>6</v>
      </c>
      <c r="P804" t="str">
        <f t="shared" si="51"/>
        <v>OK</v>
      </c>
    </row>
    <row r="805" spans="1:16" x14ac:dyDescent="0.3">
      <c r="A805" s="2">
        <f t="shared" si="48"/>
        <v>804</v>
      </c>
      <c r="B805" s="2" t="s">
        <v>29</v>
      </c>
      <c r="C805" s="2" t="s">
        <v>4</v>
      </c>
      <c r="D805" s="1">
        <v>0.28100000000000003</v>
      </c>
      <c r="E805" s="1" t="str" cm="1">
        <f t="array" ref="E805">_xlfn.IFS(
D805&lt;20,"Light",
D805&lt;50,"Medium",
D805&lt;100,"Heavy",
D805&gt;=100,"Very Heavy")</f>
        <v>Light</v>
      </c>
      <c r="F805" s="2">
        <v>21</v>
      </c>
      <c r="G805" s="2" t="str" cm="1">
        <f t="array" ref="G805">_xlfn.IFS(
F805&lt;50,"Small",
F805&lt;100,"Medium",
F805&lt;150,"Large",
F805&gt;=150,"Very Large"
)</f>
        <v>Small</v>
      </c>
      <c r="H805" s="2" t="s">
        <v>32</v>
      </c>
      <c r="I805" s="2">
        <v>52.211984999999999</v>
      </c>
      <c r="J805" s="2">
        <v>21.032869000000002</v>
      </c>
      <c r="K805" s="2" t="str">
        <f t="shared" si="49"/>
        <v>Available</v>
      </c>
      <c r="L805" s="2" t="s">
        <v>10</v>
      </c>
      <c r="M805" s="3">
        <v>45413</v>
      </c>
      <c r="N805" s="3" t="str">
        <f t="shared" si="50"/>
        <v>May</v>
      </c>
      <c r="O805" s="2" t="s">
        <v>6</v>
      </c>
      <c r="P805" t="str">
        <f t="shared" si="51"/>
        <v>OK</v>
      </c>
    </row>
    <row r="806" spans="1:16" x14ac:dyDescent="0.3">
      <c r="A806" s="2">
        <f t="shared" si="48"/>
        <v>805</v>
      </c>
      <c r="B806" s="2" t="s">
        <v>30</v>
      </c>
      <c r="C806" s="2" t="s">
        <v>13</v>
      </c>
      <c r="D806" s="1">
        <v>0.6</v>
      </c>
      <c r="E806" s="1" t="str" cm="1">
        <f t="array" ref="E806">_xlfn.IFS(
D806&lt;20,"Light",
D806&lt;50,"Medium",
D806&lt;100,"Heavy",
D806&gt;=100,"Very Heavy")</f>
        <v>Light</v>
      </c>
      <c r="F806" s="2">
        <v>19</v>
      </c>
      <c r="G806" s="2" t="str" cm="1">
        <f t="array" ref="G806">_xlfn.IFS(
F806&lt;50,"Small",
F806&lt;100,"Medium",
F806&lt;150,"Large",
F806&gt;=150,"Very Large"
)</f>
        <v>Small</v>
      </c>
      <c r="H806" s="2" t="s">
        <v>33</v>
      </c>
      <c r="I806" s="2">
        <v>48.184621</v>
      </c>
      <c r="J806" s="2">
        <v>17.089464</v>
      </c>
      <c r="K806" s="2" t="str">
        <f t="shared" si="49"/>
        <v>Available</v>
      </c>
      <c r="L806" s="2" t="s">
        <v>10</v>
      </c>
      <c r="M806" s="3">
        <v>45413</v>
      </c>
      <c r="N806" s="3" t="str">
        <f t="shared" si="50"/>
        <v>May</v>
      </c>
      <c r="O806" s="2" t="s">
        <v>14</v>
      </c>
      <c r="P806" t="str">
        <f t="shared" si="51"/>
        <v>OK</v>
      </c>
    </row>
    <row r="807" spans="1:16" x14ac:dyDescent="0.3">
      <c r="A807" s="2">
        <f t="shared" si="48"/>
        <v>806</v>
      </c>
      <c r="B807" s="2" t="s">
        <v>28</v>
      </c>
      <c r="C807" s="2" t="s">
        <v>13</v>
      </c>
      <c r="D807" s="1">
        <v>27</v>
      </c>
      <c r="E807" s="1" t="str" cm="1">
        <f t="array" ref="E807">_xlfn.IFS(
D807&lt;20,"Light",
D807&lt;50,"Medium",
D807&lt;100,"Heavy",
D807&gt;=100,"Very Heavy")</f>
        <v>Medium</v>
      </c>
      <c r="F807" s="2">
        <v>96</v>
      </c>
      <c r="G807" s="2" t="str" cm="1">
        <f t="array" ref="G807">_xlfn.IFS(
F807&lt;50,"Small",
F807&lt;100,"Medium",
F807&lt;150,"Large",
F807&gt;=150,"Very Large"
)</f>
        <v>Medium</v>
      </c>
      <c r="H807" s="2" t="s">
        <v>32</v>
      </c>
      <c r="I807" s="2">
        <v>48.406669000000001</v>
      </c>
      <c r="J807" s="2">
        <v>18.871601999999999</v>
      </c>
      <c r="K807" s="2" t="str">
        <f t="shared" si="49"/>
        <v>Available</v>
      </c>
      <c r="L807" s="2" t="s">
        <v>10</v>
      </c>
      <c r="M807" s="3">
        <v>45413</v>
      </c>
      <c r="N807" s="3" t="str">
        <f t="shared" si="50"/>
        <v>May</v>
      </c>
      <c r="O807" s="2" t="s">
        <v>14</v>
      </c>
      <c r="P807" t="str">
        <f t="shared" si="51"/>
        <v>OK</v>
      </c>
    </row>
    <row r="808" spans="1:16" x14ac:dyDescent="0.3">
      <c r="A808" s="2">
        <f t="shared" si="48"/>
        <v>807</v>
      </c>
      <c r="B808" s="2" t="s">
        <v>28</v>
      </c>
      <c r="C808" s="2" t="s">
        <v>4</v>
      </c>
      <c r="D808" s="1">
        <v>13</v>
      </c>
      <c r="E808" s="1" t="str" cm="1">
        <f t="array" ref="E808">_xlfn.IFS(
D808&lt;20,"Light",
D808&lt;50,"Medium",
D808&lt;100,"Heavy",
D808&gt;=100,"Very Heavy")</f>
        <v>Light</v>
      </c>
      <c r="F808" s="2">
        <v>63</v>
      </c>
      <c r="G808" s="2" t="str" cm="1">
        <f t="array" ref="G808">_xlfn.IFS(
F808&lt;50,"Small",
F808&lt;100,"Medium",
F808&lt;150,"Large",
F808&gt;=150,"Very Large"
)</f>
        <v>Medium</v>
      </c>
      <c r="H808" s="2" t="s">
        <v>33</v>
      </c>
      <c r="I808" s="2">
        <v>52.846378999999999</v>
      </c>
      <c r="J808" s="2">
        <v>23.904990000000002</v>
      </c>
      <c r="K808" s="2" t="str">
        <f t="shared" si="49"/>
        <v>Available</v>
      </c>
      <c r="L808" s="2" t="s">
        <v>10</v>
      </c>
      <c r="M808" s="3">
        <v>45414</v>
      </c>
      <c r="N808" s="3" t="str">
        <f t="shared" si="50"/>
        <v>May</v>
      </c>
      <c r="O808" s="2" t="s">
        <v>6</v>
      </c>
      <c r="P808" t="str">
        <f t="shared" si="51"/>
        <v>OK</v>
      </c>
    </row>
    <row r="809" spans="1:16" x14ac:dyDescent="0.3">
      <c r="A809" s="2">
        <f t="shared" si="48"/>
        <v>808</v>
      </c>
      <c r="B809" s="2" t="s">
        <v>28</v>
      </c>
      <c r="C809" s="2" t="s">
        <v>4</v>
      </c>
      <c r="D809" s="1">
        <v>20</v>
      </c>
      <c r="E809" s="1" t="str" cm="1">
        <f t="array" ref="E809">_xlfn.IFS(
D809&lt;20,"Light",
D809&lt;50,"Medium",
D809&lt;100,"Heavy",
D809&gt;=100,"Very Heavy")</f>
        <v>Medium</v>
      </c>
      <c r="F809" s="2">
        <v>87</v>
      </c>
      <c r="G809" s="2" t="str" cm="1">
        <f t="array" ref="G809">_xlfn.IFS(
F809&lt;50,"Small",
F809&lt;100,"Medium",
F809&lt;150,"Large",
F809&gt;=150,"Very Large"
)</f>
        <v>Medium</v>
      </c>
      <c r="H809" s="2" t="s">
        <v>33</v>
      </c>
      <c r="I809" s="2">
        <v>52.852069</v>
      </c>
      <c r="J809" s="2">
        <v>23.900870000000001</v>
      </c>
      <c r="K809" s="2" t="str">
        <f t="shared" si="49"/>
        <v>Available</v>
      </c>
      <c r="L809" s="2" t="s">
        <v>10</v>
      </c>
      <c r="M809" s="3">
        <v>45414</v>
      </c>
      <c r="N809" s="3" t="str">
        <f t="shared" si="50"/>
        <v>May</v>
      </c>
      <c r="O809" s="2" t="s">
        <v>6</v>
      </c>
      <c r="P809" t="str">
        <f t="shared" si="51"/>
        <v>OK</v>
      </c>
    </row>
    <row r="810" spans="1:16" x14ac:dyDescent="0.3">
      <c r="A810" s="2">
        <f t="shared" si="48"/>
        <v>809</v>
      </c>
      <c r="B810" s="2" t="s">
        <v>29</v>
      </c>
      <c r="C810" s="2" t="s">
        <v>4</v>
      </c>
      <c r="D810" s="1">
        <v>0.28199999999999997</v>
      </c>
      <c r="E810" s="1" t="str" cm="1">
        <f t="array" ref="E810">_xlfn.IFS(
D810&lt;20,"Light",
D810&lt;50,"Medium",
D810&lt;100,"Heavy",
D810&gt;=100,"Very Heavy")</f>
        <v>Light</v>
      </c>
      <c r="F810" s="2">
        <v>22</v>
      </c>
      <c r="G810" s="2" t="str" cm="1">
        <f t="array" ref="G810">_xlfn.IFS(
F810&lt;50,"Small",
F810&lt;100,"Medium",
F810&lt;150,"Large",
F810&gt;=150,"Very Large"
)</f>
        <v>Small</v>
      </c>
      <c r="H810" s="2" t="s">
        <v>33</v>
      </c>
      <c r="I810" s="2">
        <v>52.212910999999998</v>
      </c>
      <c r="J810" s="2">
        <v>21.034175000000001</v>
      </c>
      <c r="K810" s="2" t="str">
        <f t="shared" si="49"/>
        <v>Available</v>
      </c>
      <c r="L810" s="2" t="s">
        <v>10</v>
      </c>
      <c r="M810" s="3">
        <v>45414</v>
      </c>
      <c r="N810" s="3" t="str">
        <f t="shared" si="50"/>
        <v>May</v>
      </c>
      <c r="O810" s="2" t="s">
        <v>6</v>
      </c>
      <c r="P810" t="str">
        <f t="shared" si="51"/>
        <v>OK</v>
      </c>
    </row>
    <row r="811" spans="1:16" x14ac:dyDescent="0.3">
      <c r="A811" s="2">
        <f t="shared" si="48"/>
        <v>810</v>
      </c>
      <c r="B811" s="2" t="s">
        <v>29</v>
      </c>
      <c r="C811" s="2" t="s">
        <v>11</v>
      </c>
      <c r="D811" s="1">
        <v>0.30499999999999999</v>
      </c>
      <c r="E811" s="1" t="str" cm="1">
        <f t="array" ref="E811">_xlfn.IFS(
D811&lt;20,"Light",
D811&lt;50,"Medium",
D811&lt;100,"Heavy",
D811&gt;=100,"Very Heavy")</f>
        <v>Light</v>
      </c>
      <c r="F811" s="2">
        <v>21</v>
      </c>
      <c r="G811" s="2" t="str" cm="1">
        <f t="array" ref="G811">_xlfn.IFS(
F811&lt;50,"Small",
F811&lt;100,"Medium",
F811&lt;150,"Large",
F811&gt;=150,"Very Large"
)</f>
        <v>Small</v>
      </c>
      <c r="H811" s="2" t="s">
        <v>33</v>
      </c>
      <c r="I811" s="2">
        <v>48.162609000000003</v>
      </c>
      <c r="J811" s="2">
        <v>11.494157</v>
      </c>
      <c r="K811" s="2" t="str">
        <f t="shared" si="49"/>
        <v>Available</v>
      </c>
      <c r="L811" s="2" t="s">
        <v>10</v>
      </c>
      <c r="M811" s="3">
        <v>45414</v>
      </c>
      <c r="N811" s="3" t="str">
        <f t="shared" si="50"/>
        <v>May</v>
      </c>
      <c r="O811" s="2" t="s">
        <v>12</v>
      </c>
      <c r="P811" t="str">
        <f t="shared" si="51"/>
        <v>OK</v>
      </c>
    </row>
    <row r="812" spans="1:16" x14ac:dyDescent="0.3">
      <c r="A812" s="2">
        <f t="shared" si="48"/>
        <v>811</v>
      </c>
      <c r="B812" s="2" t="s">
        <v>27</v>
      </c>
      <c r="C812" s="2" t="s">
        <v>15</v>
      </c>
      <c r="D812" s="1">
        <v>727</v>
      </c>
      <c r="E812" s="1" t="str" cm="1">
        <f t="array" ref="E812">_xlfn.IFS(
D812&lt;20,"Light",
D812&lt;50,"Medium",
D812&lt;100,"Heavy",
D812&gt;=100,"Very Heavy")</f>
        <v>Very Heavy</v>
      </c>
      <c r="F812" s="2">
        <v>210</v>
      </c>
      <c r="G812" s="2" t="str" cm="1">
        <f t="array" ref="G812">_xlfn.IFS(
F812&lt;50,"Small",
F812&lt;100,"Medium",
F812&lt;150,"Large",
F812&gt;=150,"Very Large"
)</f>
        <v>Very Large</v>
      </c>
      <c r="H812" s="2" t="s">
        <v>32</v>
      </c>
      <c r="I812" s="2">
        <v>50.643056000000001</v>
      </c>
      <c r="J812" s="2">
        <v>14.843037000000001</v>
      </c>
      <c r="K812" s="2" t="str">
        <f t="shared" si="49"/>
        <v>Available</v>
      </c>
      <c r="L812" s="2" t="s">
        <v>10</v>
      </c>
      <c r="M812" s="3">
        <v>45414</v>
      </c>
      <c r="N812" s="3" t="str">
        <f t="shared" si="50"/>
        <v>May</v>
      </c>
      <c r="O812" s="2" t="s">
        <v>14</v>
      </c>
      <c r="P812" t="str">
        <f t="shared" si="51"/>
        <v>OK</v>
      </c>
    </row>
    <row r="813" spans="1:16" x14ac:dyDescent="0.3">
      <c r="A813" s="2">
        <f t="shared" si="48"/>
        <v>812</v>
      </c>
      <c r="B813" s="2" t="s">
        <v>28</v>
      </c>
      <c r="C813" s="2" t="s">
        <v>13</v>
      </c>
      <c r="D813" s="1">
        <v>25</v>
      </c>
      <c r="E813" s="1" t="str" cm="1">
        <f t="array" ref="E813">_xlfn.IFS(
D813&lt;20,"Light",
D813&lt;50,"Medium",
D813&lt;100,"Heavy",
D813&gt;=100,"Very Heavy")</f>
        <v>Medium</v>
      </c>
      <c r="F813" s="2">
        <v>107</v>
      </c>
      <c r="G813" s="2" t="str" cm="1">
        <f t="array" ref="G813">_xlfn.IFS(
F813&lt;50,"Small",
F813&lt;100,"Medium",
F813&lt;150,"Large",
F813&gt;=150,"Very Large"
)</f>
        <v>Large</v>
      </c>
      <c r="H813" s="2" t="s">
        <v>33</v>
      </c>
      <c r="I813" s="2">
        <v>48.408475000000003</v>
      </c>
      <c r="J813" s="2">
        <v>18.872534999999999</v>
      </c>
      <c r="K813" s="2" t="str">
        <f t="shared" si="49"/>
        <v>Available</v>
      </c>
      <c r="L813" s="2" t="s">
        <v>10</v>
      </c>
      <c r="M813" s="3">
        <v>45414</v>
      </c>
      <c r="N813" s="3" t="str">
        <f t="shared" si="50"/>
        <v>May</v>
      </c>
      <c r="O813" s="2" t="s">
        <v>14</v>
      </c>
      <c r="P813" t="str">
        <f t="shared" si="51"/>
        <v>OK</v>
      </c>
    </row>
    <row r="814" spans="1:16" x14ac:dyDescent="0.3">
      <c r="A814" s="2">
        <f t="shared" si="48"/>
        <v>813</v>
      </c>
      <c r="B814" s="2" t="s">
        <v>30</v>
      </c>
      <c r="C814" s="2" t="s">
        <v>7</v>
      </c>
      <c r="D814" s="1">
        <v>1.2</v>
      </c>
      <c r="E814" s="1" t="str" cm="1">
        <f t="array" ref="E814">_xlfn.IFS(
D814&lt;20,"Light",
D814&lt;50,"Medium",
D814&lt;100,"Heavy",
D814&gt;=100,"Very Heavy")</f>
        <v>Light</v>
      </c>
      <c r="F814" s="2">
        <v>26</v>
      </c>
      <c r="G814" s="2" t="str" cm="1">
        <f t="array" ref="G814">_xlfn.IFS(
F814&lt;50,"Small",
F814&lt;100,"Medium",
F814&lt;150,"Large",
F814&gt;=150,"Very Large"
)</f>
        <v>Small</v>
      </c>
      <c r="H814" s="2" t="s">
        <v>32</v>
      </c>
      <c r="I814" s="2">
        <v>47.509103000000003</v>
      </c>
      <c r="J814" s="2">
        <v>18.948170999999999</v>
      </c>
      <c r="K814" s="2" t="str">
        <f t="shared" si="49"/>
        <v>Available</v>
      </c>
      <c r="L814" s="2" t="s">
        <v>10</v>
      </c>
      <c r="M814" s="3">
        <v>45415</v>
      </c>
      <c r="N814" s="3" t="str">
        <f t="shared" si="50"/>
        <v>May</v>
      </c>
      <c r="O814" s="2" t="s">
        <v>6</v>
      </c>
      <c r="P814" t="str">
        <f t="shared" si="51"/>
        <v>OK</v>
      </c>
    </row>
    <row r="815" spans="1:16" x14ac:dyDescent="0.3">
      <c r="A815" s="2">
        <f t="shared" si="48"/>
        <v>814</v>
      </c>
      <c r="B815" s="2" t="s">
        <v>30</v>
      </c>
      <c r="C815" s="2" t="s">
        <v>13</v>
      </c>
      <c r="D815" s="1">
        <v>1.1000000000000001</v>
      </c>
      <c r="E815" s="1" t="str" cm="1">
        <f t="array" ref="E815">_xlfn.IFS(
D815&lt;20,"Light",
D815&lt;50,"Medium",
D815&lt;100,"Heavy",
D815&gt;=100,"Very Heavy")</f>
        <v>Light</v>
      </c>
      <c r="F815" s="2">
        <v>22</v>
      </c>
      <c r="G815" s="2" t="str" cm="1">
        <f t="array" ref="G815">_xlfn.IFS(
F815&lt;50,"Small",
F815&lt;100,"Medium",
F815&lt;150,"Large",
F815&gt;=150,"Very Large"
)</f>
        <v>Small</v>
      </c>
      <c r="H815" s="2" t="s">
        <v>32</v>
      </c>
      <c r="I815" s="2">
        <v>48.183926999999997</v>
      </c>
      <c r="J815" s="2">
        <v>17.090716</v>
      </c>
      <c r="K815" s="2" t="str">
        <f t="shared" si="49"/>
        <v>Available</v>
      </c>
      <c r="L815" s="2" t="s">
        <v>10</v>
      </c>
      <c r="M815" s="3">
        <v>45415</v>
      </c>
      <c r="N815" s="3" t="str">
        <f t="shared" si="50"/>
        <v>May</v>
      </c>
      <c r="O815" s="2" t="s">
        <v>14</v>
      </c>
      <c r="P815" t="str">
        <f t="shared" si="51"/>
        <v>OK</v>
      </c>
    </row>
    <row r="816" spans="1:16" x14ac:dyDescent="0.3">
      <c r="A816" s="2">
        <f t="shared" si="48"/>
        <v>815</v>
      </c>
      <c r="B816" s="2" t="s">
        <v>29</v>
      </c>
      <c r="C816" s="2" t="s">
        <v>4</v>
      </c>
      <c r="D816" s="1">
        <v>0.317</v>
      </c>
      <c r="E816" s="1" t="str" cm="1">
        <f t="array" ref="E816">_xlfn.IFS(
D816&lt;20,"Light",
D816&lt;50,"Medium",
D816&lt;100,"Heavy",
D816&gt;=100,"Very Heavy")</f>
        <v>Light</v>
      </c>
      <c r="F816" s="2">
        <v>19</v>
      </c>
      <c r="G816" s="2" t="str" cm="1">
        <f t="array" ref="G816">_xlfn.IFS(
F816&lt;50,"Small",
F816&lt;100,"Medium",
F816&lt;150,"Large",
F816&gt;=150,"Very Large"
)</f>
        <v>Small</v>
      </c>
      <c r="H816" s="2" t="s">
        <v>33</v>
      </c>
      <c r="I816" s="2">
        <v>52.212310000000002</v>
      </c>
      <c r="J816" s="2">
        <v>21.033586</v>
      </c>
      <c r="K816" s="2" t="str">
        <f t="shared" si="49"/>
        <v>Available</v>
      </c>
      <c r="L816" s="2" t="s">
        <v>19</v>
      </c>
      <c r="M816" s="3">
        <v>45416</v>
      </c>
      <c r="N816" s="3" t="str">
        <f t="shared" si="50"/>
        <v>May</v>
      </c>
      <c r="O816" s="2" t="s">
        <v>6</v>
      </c>
      <c r="P816" t="str">
        <f t="shared" si="51"/>
        <v>OK</v>
      </c>
    </row>
    <row r="817" spans="1:16" x14ac:dyDescent="0.3">
      <c r="A817" s="2">
        <f t="shared" si="48"/>
        <v>816</v>
      </c>
      <c r="B817" s="2" t="s">
        <v>30</v>
      </c>
      <c r="C817" s="2" t="s">
        <v>7</v>
      </c>
      <c r="D817" s="1">
        <v>0.7</v>
      </c>
      <c r="E817" s="1" t="str" cm="1">
        <f t="array" ref="E817">_xlfn.IFS(
D817&lt;20,"Light",
D817&lt;50,"Medium",
D817&lt;100,"Heavy",
D817&gt;=100,"Very Heavy")</f>
        <v>Light</v>
      </c>
      <c r="F817" s="2">
        <v>26</v>
      </c>
      <c r="G817" s="2" t="str" cm="1">
        <f t="array" ref="G817">_xlfn.IFS(
F817&lt;50,"Small",
F817&lt;100,"Medium",
F817&lt;150,"Large",
F817&gt;=150,"Very Large"
)</f>
        <v>Small</v>
      </c>
      <c r="H817" s="2" t="s">
        <v>32</v>
      </c>
      <c r="I817" s="2">
        <v>47.510697</v>
      </c>
      <c r="J817" s="2">
        <v>18.948588000000001</v>
      </c>
      <c r="K817" s="2" t="str">
        <f t="shared" si="49"/>
        <v>Available</v>
      </c>
      <c r="L817" s="2" t="s">
        <v>10</v>
      </c>
      <c r="M817" s="3">
        <v>45417</v>
      </c>
      <c r="N817" s="3" t="str">
        <f t="shared" si="50"/>
        <v>May</v>
      </c>
      <c r="O817" s="2" t="s">
        <v>6</v>
      </c>
      <c r="P817" t="str">
        <f t="shared" si="51"/>
        <v>OK</v>
      </c>
    </row>
    <row r="818" spans="1:16" x14ac:dyDescent="0.3">
      <c r="A818" s="2">
        <f t="shared" si="48"/>
        <v>817</v>
      </c>
      <c r="B818" s="2" t="s">
        <v>30</v>
      </c>
      <c r="C818" s="2" t="s">
        <v>7</v>
      </c>
      <c r="D818" s="1">
        <v>1.1000000000000001</v>
      </c>
      <c r="E818" s="1" t="str" cm="1">
        <f t="array" ref="E818">_xlfn.IFS(
D818&lt;20,"Light",
D818&lt;50,"Medium",
D818&lt;100,"Heavy",
D818&gt;=100,"Very Heavy")</f>
        <v>Light</v>
      </c>
      <c r="F818" s="2">
        <v>21</v>
      </c>
      <c r="G818" s="2" t="str" cm="1">
        <f t="array" ref="G818">_xlfn.IFS(
F818&lt;50,"Small",
F818&lt;100,"Medium",
F818&lt;150,"Large",
F818&gt;=150,"Very Large"
)</f>
        <v>Small</v>
      </c>
      <c r="H818" s="2" t="s">
        <v>33</v>
      </c>
      <c r="I818" s="2">
        <v>47.505903000000004</v>
      </c>
      <c r="J818" s="2">
        <v>18.948537999999999</v>
      </c>
      <c r="K818" s="2" t="str">
        <f t="shared" si="49"/>
        <v>Available</v>
      </c>
      <c r="L818" s="2" t="s">
        <v>10</v>
      </c>
      <c r="M818" s="3">
        <v>45417</v>
      </c>
      <c r="N818" s="3" t="str">
        <f t="shared" si="50"/>
        <v>May</v>
      </c>
      <c r="O818" s="2" t="s">
        <v>6</v>
      </c>
      <c r="P818" t="str">
        <f t="shared" si="51"/>
        <v>OK</v>
      </c>
    </row>
    <row r="819" spans="1:16" x14ac:dyDescent="0.3">
      <c r="A819" s="2">
        <f t="shared" si="48"/>
        <v>818</v>
      </c>
      <c r="B819" s="2" t="s">
        <v>28</v>
      </c>
      <c r="C819" s="2" t="s">
        <v>4</v>
      </c>
      <c r="D819" s="1">
        <v>24</v>
      </c>
      <c r="E819" s="1" t="str" cm="1">
        <f t="array" ref="E819">_xlfn.IFS(
D819&lt;20,"Light",
D819&lt;50,"Medium",
D819&lt;100,"Heavy",
D819&gt;=100,"Very Heavy")</f>
        <v>Medium</v>
      </c>
      <c r="F819" s="2">
        <v>89</v>
      </c>
      <c r="G819" s="2" t="str" cm="1">
        <f t="array" ref="G819">_xlfn.IFS(
F819&lt;50,"Small",
F819&lt;100,"Medium",
F819&lt;150,"Large",
F819&gt;=150,"Very Large"
)</f>
        <v>Medium</v>
      </c>
      <c r="H819" s="2" t="s">
        <v>33</v>
      </c>
      <c r="I819" s="2">
        <v>52.847482999999997</v>
      </c>
      <c r="J819" s="2">
        <v>23.906057000000001</v>
      </c>
      <c r="K819" s="2" t="str">
        <f t="shared" si="49"/>
        <v>Available</v>
      </c>
      <c r="L819" s="2" t="s">
        <v>10</v>
      </c>
      <c r="M819" s="3">
        <v>45417</v>
      </c>
      <c r="N819" s="3" t="str">
        <f t="shared" si="50"/>
        <v>May</v>
      </c>
      <c r="O819" s="2" t="s">
        <v>6</v>
      </c>
      <c r="P819" t="str">
        <f t="shared" si="51"/>
        <v>OK</v>
      </c>
    </row>
    <row r="820" spans="1:16" x14ac:dyDescent="0.3">
      <c r="A820" s="2">
        <f t="shared" si="48"/>
        <v>819</v>
      </c>
      <c r="B820" s="2" t="s">
        <v>30</v>
      </c>
      <c r="C820" s="2" t="s">
        <v>11</v>
      </c>
      <c r="D820" s="1">
        <v>0.6</v>
      </c>
      <c r="E820" s="1" t="str" cm="1">
        <f t="array" ref="E820">_xlfn.IFS(
D820&lt;20,"Light",
D820&lt;50,"Medium",
D820&lt;100,"Heavy",
D820&gt;=100,"Very Heavy")</f>
        <v>Light</v>
      </c>
      <c r="F820" s="2">
        <v>23</v>
      </c>
      <c r="G820" s="2" t="str" cm="1">
        <f t="array" ref="G820">_xlfn.IFS(
F820&lt;50,"Small",
F820&lt;100,"Medium",
F820&lt;150,"Large",
F820&gt;=150,"Very Large"
)</f>
        <v>Small</v>
      </c>
      <c r="H820" s="2" t="s">
        <v>33</v>
      </c>
      <c r="I820" s="2">
        <v>49.561219999999999</v>
      </c>
      <c r="J820" s="2">
        <v>11.082195</v>
      </c>
      <c r="K820" s="2" t="str">
        <f t="shared" si="49"/>
        <v>Available</v>
      </c>
      <c r="L820" s="2" t="s">
        <v>10</v>
      </c>
      <c r="M820" s="3">
        <v>45417</v>
      </c>
      <c r="N820" s="3" t="str">
        <f t="shared" si="50"/>
        <v>May</v>
      </c>
      <c r="O820" s="2" t="s">
        <v>12</v>
      </c>
      <c r="P820" t="str">
        <f t="shared" si="51"/>
        <v>OK</v>
      </c>
    </row>
    <row r="821" spans="1:16" x14ac:dyDescent="0.3">
      <c r="A821" s="2">
        <f t="shared" si="48"/>
        <v>820</v>
      </c>
      <c r="B821" s="2" t="s">
        <v>30</v>
      </c>
      <c r="C821" s="2" t="s">
        <v>11</v>
      </c>
      <c r="D821" s="1">
        <v>0.7</v>
      </c>
      <c r="E821" s="1" t="str" cm="1">
        <f t="array" ref="E821">_xlfn.IFS(
D821&lt;20,"Light",
D821&lt;50,"Medium",
D821&lt;100,"Heavy",
D821&gt;=100,"Very Heavy")</f>
        <v>Light</v>
      </c>
      <c r="F821" s="2">
        <v>21</v>
      </c>
      <c r="G821" s="2" t="str" cm="1">
        <f t="array" ref="G821">_xlfn.IFS(
F821&lt;50,"Small",
F821&lt;100,"Medium",
F821&lt;150,"Large",
F821&gt;=150,"Very Large"
)</f>
        <v>Small</v>
      </c>
      <c r="H821" s="2" t="s">
        <v>33</v>
      </c>
      <c r="I821" s="2">
        <v>49.559522999999999</v>
      </c>
      <c r="J821" s="2">
        <v>11.103683999999999</v>
      </c>
      <c r="K821" s="2" t="str">
        <f t="shared" si="49"/>
        <v>Available</v>
      </c>
      <c r="L821" s="2" t="s">
        <v>10</v>
      </c>
      <c r="M821" s="3">
        <v>45417</v>
      </c>
      <c r="N821" s="3" t="str">
        <f t="shared" si="50"/>
        <v>May</v>
      </c>
      <c r="O821" s="2" t="s">
        <v>12</v>
      </c>
      <c r="P821" t="str">
        <f t="shared" si="51"/>
        <v>OK</v>
      </c>
    </row>
    <row r="822" spans="1:16" x14ac:dyDescent="0.3">
      <c r="A822" s="2">
        <f t="shared" si="48"/>
        <v>821</v>
      </c>
      <c r="B822" s="2" t="s">
        <v>30</v>
      </c>
      <c r="C822" s="2" t="s">
        <v>11</v>
      </c>
      <c r="D822" s="1">
        <v>0.6</v>
      </c>
      <c r="E822" s="1" t="str" cm="1">
        <f t="array" ref="E822">_xlfn.IFS(
D822&lt;20,"Light",
D822&lt;50,"Medium",
D822&lt;100,"Heavy",
D822&gt;=100,"Very Heavy")</f>
        <v>Light</v>
      </c>
      <c r="F822" s="2">
        <v>23</v>
      </c>
      <c r="G822" s="2" t="str" cm="1">
        <f t="array" ref="G822">_xlfn.IFS(
F822&lt;50,"Small",
F822&lt;100,"Medium",
F822&lt;150,"Large",
F822&gt;=150,"Very Large"
)</f>
        <v>Small</v>
      </c>
      <c r="H822" s="2" t="s">
        <v>32</v>
      </c>
      <c r="I822" s="2">
        <v>49.547725</v>
      </c>
      <c r="J822" s="2">
        <v>11.082734</v>
      </c>
      <c r="K822" s="2" t="str">
        <f t="shared" si="49"/>
        <v>Available</v>
      </c>
      <c r="L822" s="2" t="s">
        <v>10</v>
      </c>
      <c r="M822" s="3">
        <v>45417</v>
      </c>
      <c r="N822" s="3" t="str">
        <f t="shared" si="50"/>
        <v>May</v>
      </c>
      <c r="O822" s="2" t="s">
        <v>12</v>
      </c>
      <c r="P822" t="str">
        <f t="shared" si="51"/>
        <v>OK</v>
      </c>
    </row>
    <row r="823" spans="1:16" x14ac:dyDescent="0.3">
      <c r="A823" s="2">
        <f t="shared" si="48"/>
        <v>822</v>
      </c>
      <c r="B823" s="2" t="s">
        <v>30</v>
      </c>
      <c r="C823" s="2" t="s">
        <v>13</v>
      </c>
      <c r="D823" s="1">
        <v>1</v>
      </c>
      <c r="E823" s="1" t="str" cm="1">
        <f t="array" ref="E823">_xlfn.IFS(
D823&lt;20,"Light",
D823&lt;50,"Medium",
D823&lt;100,"Heavy",
D823&gt;=100,"Very Heavy")</f>
        <v>Light</v>
      </c>
      <c r="F823" s="2">
        <v>21</v>
      </c>
      <c r="G823" s="2" t="str" cm="1">
        <f t="array" ref="G823">_xlfn.IFS(
F823&lt;50,"Small",
F823&lt;100,"Medium",
F823&lt;150,"Large",
F823&gt;=150,"Very Large"
)</f>
        <v>Small</v>
      </c>
      <c r="H823" s="2" t="s">
        <v>32</v>
      </c>
      <c r="I823" s="2">
        <v>48.185893</v>
      </c>
      <c r="J823" s="2">
        <v>17.08942</v>
      </c>
      <c r="K823" s="2" t="str">
        <f t="shared" si="49"/>
        <v>Available</v>
      </c>
      <c r="L823" s="2" t="s">
        <v>10</v>
      </c>
      <c r="M823" s="3">
        <v>45417</v>
      </c>
      <c r="N823" s="3" t="str">
        <f t="shared" si="50"/>
        <v>May</v>
      </c>
      <c r="O823" s="2" t="s">
        <v>14</v>
      </c>
      <c r="P823" t="str">
        <f t="shared" si="51"/>
        <v>OK</v>
      </c>
    </row>
    <row r="824" spans="1:16" x14ac:dyDescent="0.3">
      <c r="A824" s="2">
        <f t="shared" si="48"/>
        <v>823</v>
      </c>
      <c r="B824" s="2" t="s">
        <v>30</v>
      </c>
      <c r="C824" s="2" t="s">
        <v>13</v>
      </c>
      <c r="D824" s="1">
        <v>0.4</v>
      </c>
      <c r="E824" s="1" t="str" cm="1">
        <f t="array" ref="E824">_xlfn.IFS(
D824&lt;20,"Light",
D824&lt;50,"Medium",
D824&lt;100,"Heavy",
D824&gt;=100,"Very Heavy")</f>
        <v>Light</v>
      </c>
      <c r="F824" s="2">
        <v>16</v>
      </c>
      <c r="G824" s="2" t="str" cm="1">
        <f t="array" ref="G824">_xlfn.IFS(
F824&lt;50,"Small",
F824&lt;100,"Medium",
F824&lt;150,"Large",
F824&gt;=150,"Very Large"
)</f>
        <v>Small</v>
      </c>
      <c r="H824" s="2" t="s">
        <v>32</v>
      </c>
      <c r="I824" s="2">
        <v>48.187845000000003</v>
      </c>
      <c r="J824" s="2">
        <v>17.086572</v>
      </c>
      <c r="K824" s="2" t="str">
        <f t="shared" si="49"/>
        <v>Available</v>
      </c>
      <c r="L824" s="2" t="s">
        <v>10</v>
      </c>
      <c r="M824" s="3">
        <v>45417</v>
      </c>
      <c r="N824" s="3" t="str">
        <f t="shared" si="50"/>
        <v>May</v>
      </c>
      <c r="O824" s="2" t="s">
        <v>14</v>
      </c>
      <c r="P824" t="str">
        <f t="shared" si="51"/>
        <v>OK</v>
      </c>
    </row>
    <row r="825" spans="1:16" x14ac:dyDescent="0.3">
      <c r="A825" s="2">
        <f t="shared" si="48"/>
        <v>824</v>
      </c>
      <c r="B825" s="2" t="s">
        <v>30</v>
      </c>
      <c r="C825" s="2" t="s">
        <v>13</v>
      </c>
      <c r="D825" s="1">
        <v>0.7</v>
      </c>
      <c r="E825" s="1" t="str" cm="1">
        <f t="array" ref="E825">_xlfn.IFS(
D825&lt;20,"Light",
D825&lt;50,"Medium",
D825&lt;100,"Heavy",
D825&gt;=100,"Very Heavy")</f>
        <v>Light</v>
      </c>
      <c r="F825" s="2">
        <v>19</v>
      </c>
      <c r="G825" s="2" t="str" cm="1">
        <f t="array" ref="G825">_xlfn.IFS(
F825&lt;50,"Small",
F825&lt;100,"Medium",
F825&lt;150,"Large",
F825&gt;=150,"Very Large"
)</f>
        <v>Small</v>
      </c>
      <c r="H825" s="2" t="s">
        <v>33</v>
      </c>
      <c r="I825" s="2">
        <v>48.184277999999999</v>
      </c>
      <c r="J825" s="2">
        <v>17.086877999999999</v>
      </c>
      <c r="K825" s="2" t="str">
        <f t="shared" si="49"/>
        <v>Available</v>
      </c>
      <c r="L825" s="2" t="s">
        <v>10</v>
      </c>
      <c r="M825" s="3">
        <v>45417</v>
      </c>
      <c r="N825" s="3" t="str">
        <f t="shared" si="50"/>
        <v>May</v>
      </c>
      <c r="O825" s="2" t="s">
        <v>14</v>
      </c>
      <c r="P825" t="str">
        <f t="shared" si="51"/>
        <v>OK</v>
      </c>
    </row>
    <row r="826" spans="1:16" x14ac:dyDescent="0.3">
      <c r="A826" s="2">
        <f t="shared" si="48"/>
        <v>825</v>
      </c>
      <c r="B826" s="2" t="s">
        <v>29</v>
      </c>
      <c r="C826" s="2" t="s">
        <v>4</v>
      </c>
      <c r="D826" s="1">
        <v>0.30099999999999999</v>
      </c>
      <c r="E826" s="1" t="str" cm="1">
        <f t="array" ref="E826">_xlfn.IFS(
D826&lt;20,"Light",
D826&lt;50,"Medium",
D826&lt;100,"Heavy",
D826&gt;=100,"Very Heavy")</f>
        <v>Light</v>
      </c>
      <c r="F826" s="2">
        <v>22</v>
      </c>
      <c r="G826" s="2" t="str" cm="1">
        <f t="array" ref="G826">_xlfn.IFS(
F826&lt;50,"Small",
F826&lt;100,"Medium",
F826&lt;150,"Large",
F826&gt;=150,"Very Large"
)</f>
        <v>Small</v>
      </c>
      <c r="H826" s="2" t="s">
        <v>32</v>
      </c>
      <c r="I826" s="2">
        <v>52.212760000000003</v>
      </c>
      <c r="J826" s="2">
        <v>21.034189000000001</v>
      </c>
      <c r="K826" s="2" t="str">
        <f t="shared" si="49"/>
        <v>Available</v>
      </c>
      <c r="L826" s="2" t="s">
        <v>10</v>
      </c>
      <c r="M826" s="3">
        <v>45418</v>
      </c>
      <c r="N826" s="3" t="str">
        <f t="shared" si="50"/>
        <v>May</v>
      </c>
      <c r="O826" s="2" t="s">
        <v>6</v>
      </c>
      <c r="P826" t="str">
        <f t="shared" si="51"/>
        <v>OK</v>
      </c>
    </row>
    <row r="827" spans="1:16" x14ac:dyDescent="0.3">
      <c r="A827" s="2">
        <f t="shared" si="48"/>
        <v>826</v>
      </c>
      <c r="B827" s="2" t="s">
        <v>29</v>
      </c>
      <c r="C827" s="2" t="s">
        <v>4</v>
      </c>
      <c r="D827" s="1">
        <v>0.34300000000000003</v>
      </c>
      <c r="E827" s="1" t="str" cm="1">
        <f t="array" ref="E827">_xlfn.IFS(
D827&lt;20,"Light",
D827&lt;50,"Medium",
D827&lt;100,"Heavy",
D827&gt;=100,"Very Heavy")</f>
        <v>Light</v>
      </c>
      <c r="F827" s="2">
        <v>22</v>
      </c>
      <c r="G827" s="2" t="str" cm="1">
        <f t="array" ref="G827">_xlfn.IFS(
F827&lt;50,"Small",
F827&lt;100,"Medium",
F827&lt;150,"Large",
F827&gt;=150,"Very Large"
)</f>
        <v>Small</v>
      </c>
      <c r="H827" s="2" t="s">
        <v>32</v>
      </c>
      <c r="I827" s="2">
        <v>52.212496999999999</v>
      </c>
      <c r="J827" s="2">
        <v>21.033515000000001</v>
      </c>
      <c r="K827" s="2" t="str">
        <f t="shared" si="49"/>
        <v>Available</v>
      </c>
      <c r="L827" s="2" t="s">
        <v>10</v>
      </c>
      <c r="M827" s="3">
        <v>45418</v>
      </c>
      <c r="N827" s="3" t="str">
        <f t="shared" si="50"/>
        <v>May</v>
      </c>
      <c r="O827" s="2" t="s">
        <v>6</v>
      </c>
      <c r="P827" t="str">
        <f t="shared" si="51"/>
        <v>OK</v>
      </c>
    </row>
    <row r="828" spans="1:16" x14ac:dyDescent="0.3">
      <c r="A828" s="2">
        <f t="shared" si="48"/>
        <v>827</v>
      </c>
      <c r="B828" s="2" t="s">
        <v>29</v>
      </c>
      <c r="C828" s="2" t="s">
        <v>4</v>
      </c>
      <c r="D828" s="1">
        <v>0.307</v>
      </c>
      <c r="E828" s="1" t="str" cm="1">
        <f t="array" ref="E828">_xlfn.IFS(
D828&lt;20,"Light",
D828&lt;50,"Medium",
D828&lt;100,"Heavy",
D828&gt;=100,"Very Heavy")</f>
        <v>Light</v>
      </c>
      <c r="F828" s="2">
        <v>20</v>
      </c>
      <c r="G828" s="2" t="str" cm="1">
        <f t="array" ref="G828">_xlfn.IFS(
F828&lt;50,"Small",
F828&lt;100,"Medium",
F828&lt;150,"Large",
F828&gt;=150,"Very Large"
)</f>
        <v>Small</v>
      </c>
      <c r="H828" s="2" t="s">
        <v>33</v>
      </c>
      <c r="I828" s="2">
        <v>52.212144000000002</v>
      </c>
      <c r="J828" s="2">
        <v>21.033534</v>
      </c>
      <c r="K828" s="2" t="str">
        <f t="shared" si="49"/>
        <v>Available</v>
      </c>
      <c r="L828" s="2" t="s">
        <v>10</v>
      </c>
      <c r="M828" s="3">
        <v>45418</v>
      </c>
      <c r="N828" s="3" t="str">
        <f t="shared" si="50"/>
        <v>May</v>
      </c>
      <c r="O828" s="2" t="s">
        <v>6</v>
      </c>
      <c r="P828" t="str">
        <f t="shared" si="51"/>
        <v>OK</v>
      </c>
    </row>
    <row r="829" spans="1:16" x14ac:dyDescent="0.3">
      <c r="A829" s="2">
        <f t="shared" si="48"/>
        <v>828</v>
      </c>
      <c r="B829" s="2" t="s">
        <v>30</v>
      </c>
      <c r="C829" s="2" t="s">
        <v>13</v>
      </c>
      <c r="D829" s="1">
        <v>0.8</v>
      </c>
      <c r="E829" s="1" t="str" cm="1">
        <f t="array" ref="E829">_xlfn.IFS(
D829&lt;20,"Light",
D829&lt;50,"Medium",
D829&lt;100,"Heavy",
D829&gt;=100,"Very Heavy")</f>
        <v>Light</v>
      </c>
      <c r="F829" s="2">
        <v>21</v>
      </c>
      <c r="G829" s="2" t="str" cm="1">
        <f t="array" ref="G829">_xlfn.IFS(
F829&lt;50,"Small",
F829&lt;100,"Medium",
F829&lt;150,"Large",
F829&gt;=150,"Very Large"
)</f>
        <v>Small</v>
      </c>
      <c r="H829" s="2" t="s">
        <v>32</v>
      </c>
      <c r="I829" s="2">
        <v>48.187468000000003</v>
      </c>
      <c r="J829" s="2">
        <v>17.088826999999998</v>
      </c>
      <c r="K829" s="2" t="str">
        <f t="shared" si="49"/>
        <v>Available</v>
      </c>
      <c r="L829" s="2" t="s">
        <v>10</v>
      </c>
      <c r="M829" s="3">
        <v>45418</v>
      </c>
      <c r="N829" s="3" t="str">
        <f t="shared" si="50"/>
        <v>May</v>
      </c>
      <c r="O829" s="2" t="s">
        <v>14</v>
      </c>
      <c r="P829" t="str">
        <f t="shared" si="51"/>
        <v>OK</v>
      </c>
    </row>
    <row r="830" spans="1:16" x14ac:dyDescent="0.3">
      <c r="A830" s="2">
        <f t="shared" si="48"/>
        <v>829</v>
      </c>
      <c r="B830" s="2" t="s">
        <v>30</v>
      </c>
      <c r="C830" s="2" t="s">
        <v>7</v>
      </c>
      <c r="D830" s="1">
        <v>0.9</v>
      </c>
      <c r="E830" s="1" t="str" cm="1">
        <f t="array" ref="E830">_xlfn.IFS(
D830&lt;20,"Light",
D830&lt;50,"Medium",
D830&lt;100,"Heavy",
D830&gt;=100,"Very Heavy")</f>
        <v>Light</v>
      </c>
      <c r="F830" s="2">
        <v>23</v>
      </c>
      <c r="G830" s="2" t="str" cm="1">
        <f t="array" ref="G830">_xlfn.IFS(
F830&lt;50,"Small",
F830&lt;100,"Medium",
F830&lt;150,"Large",
F830&gt;=150,"Very Large"
)</f>
        <v>Small</v>
      </c>
      <c r="H830" s="2" t="s">
        <v>32</v>
      </c>
      <c r="I830" s="2">
        <v>47.510055000000001</v>
      </c>
      <c r="J830" s="2">
        <v>18.944355999999999</v>
      </c>
      <c r="K830" s="2" t="str">
        <f t="shared" si="49"/>
        <v>Available</v>
      </c>
      <c r="L830" s="2" t="s">
        <v>10</v>
      </c>
      <c r="M830" s="3">
        <v>45419</v>
      </c>
      <c r="N830" s="3" t="str">
        <f t="shared" si="50"/>
        <v>May</v>
      </c>
      <c r="O830" s="2" t="s">
        <v>6</v>
      </c>
      <c r="P830" t="str">
        <f t="shared" si="51"/>
        <v>OK</v>
      </c>
    </row>
    <row r="831" spans="1:16" x14ac:dyDescent="0.3">
      <c r="A831" s="2">
        <f t="shared" si="48"/>
        <v>830</v>
      </c>
      <c r="B831" s="2" t="s">
        <v>29</v>
      </c>
      <c r="C831" s="2" t="s">
        <v>4</v>
      </c>
      <c r="D831" s="1">
        <v>0.34599999999999997</v>
      </c>
      <c r="E831" s="1" t="str" cm="1">
        <f t="array" ref="E831">_xlfn.IFS(
D831&lt;20,"Light",
D831&lt;50,"Medium",
D831&lt;100,"Heavy",
D831&gt;=100,"Very Heavy")</f>
        <v>Light</v>
      </c>
      <c r="F831" s="2">
        <v>20</v>
      </c>
      <c r="G831" s="2" t="str" cm="1">
        <f t="array" ref="G831">_xlfn.IFS(
F831&lt;50,"Small",
F831&lt;100,"Medium",
F831&lt;150,"Large",
F831&gt;=150,"Very Large"
)</f>
        <v>Small</v>
      </c>
      <c r="H831" s="2" t="s">
        <v>33</v>
      </c>
      <c r="I831" s="2">
        <v>52.212001000000001</v>
      </c>
      <c r="J831" s="2">
        <v>21.033187000000002</v>
      </c>
      <c r="K831" s="2" t="str">
        <f t="shared" si="49"/>
        <v>Available</v>
      </c>
      <c r="L831" s="2" t="s">
        <v>16</v>
      </c>
      <c r="M831" s="3">
        <v>45419</v>
      </c>
      <c r="N831" s="3" t="str">
        <f t="shared" si="50"/>
        <v>May</v>
      </c>
      <c r="O831" s="2" t="s">
        <v>6</v>
      </c>
      <c r="P831" t="str">
        <f t="shared" si="51"/>
        <v>OK</v>
      </c>
    </row>
    <row r="832" spans="1:16" x14ac:dyDescent="0.3">
      <c r="A832" s="2">
        <f t="shared" si="48"/>
        <v>831</v>
      </c>
      <c r="B832" s="2" t="s">
        <v>30</v>
      </c>
      <c r="C832" s="2" t="s">
        <v>11</v>
      </c>
      <c r="D832" s="1">
        <v>1</v>
      </c>
      <c r="E832" s="1" t="str" cm="1">
        <f t="array" ref="E832">_xlfn.IFS(
D832&lt;20,"Light",
D832&lt;50,"Medium",
D832&lt;100,"Heavy",
D832&gt;=100,"Very Heavy")</f>
        <v>Light</v>
      </c>
      <c r="F832" s="2">
        <v>23</v>
      </c>
      <c r="G832" s="2" t="str" cm="1">
        <f t="array" ref="G832">_xlfn.IFS(
F832&lt;50,"Small",
F832&lt;100,"Medium",
F832&lt;150,"Large",
F832&gt;=150,"Very Large"
)</f>
        <v>Small</v>
      </c>
      <c r="H832" s="2" t="s">
        <v>33</v>
      </c>
      <c r="I832" s="2">
        <v>49.561356000000004</v>
      </c>
      <c r="J832" s="2">
        <v>11.105333999999999</v>
      </c>
      <c r="K832" s="2" t="str">
        <f t="shared" si="49"/>
        <v>Available</v>
      </c>
      <c r="L832" s="2" t="s">
        <v>10</v>
      </c>
      <c r="M832" s="3">
        <v>45419</v>
      </c>
      <c r="N832" s="3" t="str">
        <f t="shared" si="50"/>
        <v>May</v>
      </c>
      <c r="O832" s="2" t="s">
        <v>12</v>
      </c>
      <c r="P832" t="str">
        <f t="shared" si="51"/>
        <v>OK</v>
      </c>
    </row>
    <row r="833" spans="1:16" x14ac:dyDescent="0.3">
      <c r="A833" s="2">
        <f t="shared" si="48"/>
        <v>832</v>
      </c>
      <c r="B833" s="2" t="s">
        <v>30</v>
      </c>
      <c r="C833" s="2" t="s">
        <v>11</v>
      </c>
      <c r="D833" s="1">
        <v>0.5</v>
      </c>
      <c r="E833" s="1" t="str" cm="1">
        <f t="array" ref="E833">_xlfn.IFS(
D833&lt;20,"Light",
D833&lt;50,"Medium",
D833&lt;100,"Heavy",
D833&gt;=100,"Very Heavy")</f>
        <v>Light</v>
      </c>
      <c r="F833" s="2">
        <v>17</v>
      </c>
      <c r="G833" s="2" t="str" cm="1">
        <f t="array" ref="G833">_xlfn.IFS(
F833&lt;50,"Small",
F833&lt;100,"Medium",
F833&lt;150,"Large",
F833&gt;=150,"Very Large"
)</f>
        <v>Small</v>
      </c>
      <c r="H833" s="2" t="s">
        <v>33</v>
      </c>
      <c r="I833" s="2">
        <v>49.561568999999999</v>
      </c>
      <c r="J833" s="2">
        <v>11.087046000000001</v>
      </c>
      <c r="K833" s="2" t="str">
        <f t="shared" si="49"/>
        <v>Available</v>
      </c>
      <c r="L833" s="2" t="s">
        <v>10</v>
      </c>
      <c r="M833" s="3">
        <v>45419</v>
      </c>
      <c r="N833" s="3" t="str">
        <f t="shared" si="50"/>
        <v>May</v>
      </c>
      <c r="O833" s="2" t="s">
        <v>12</v>
      </c>
      <c r="P833" t="str">
        <f t="shared" si="51"/>
        <v>OK</v>
      </c>
    </row>
    <row r="834" spans="1:16" x14ac:dyDescent="0.3">
      <c r="A834" s="2">
        <f t="shared" si="48"/>
        <v>833</v>
      </c>
      <c r="B834" s="2" t="s">
        <v>30</v>
      </c>
      <c r="C834" s="2" t="s">
        <v>7</v>
      </c>
      <c r="D834" s="1">
        <v>0.9</v>
      </c>
      <c r="E834" s="1" t="str" cm="1">
        <f t="array" ref="E834">_xlfn.IFS(
D834&lt;20,"Light",
D834&lt;50,"Medium",
D834&lt;100,"Heavy",
D834&gt;=100,"Very Heavy")</f>
        <v>Light</v>
      </c>
      <c r="F834" s="2">
        <v>16</v>
      </c>
      <c r="G834" s="2" t="str" cm="1">
        <f t="array" ref="G834">_xlfn.IFS(
F834&lt;50,"Small",
F834&lt;100,"Medium",
F834&lt;150,"Large",
F834&gt;=150,"Very Large"
)</f>
        <v>Small</v>
      </c>
      <c r="H834" s="2" t="s">
        <v>33</v>
      </c>
      <c r="I834" s="2">
        <v>47.509860000000003</v>
      </c>
      <c r="J834" s="2">
        <v>18.939943</v>
      </c>
      <c r="K834" s="2" t="str">
        <f t="shared" si="49"/>
        <v>Available</v>
      </c>
      <c r="L834" s="2" t="s">
        <v>10</v>
      </c>
      <c r="M834" s="3">
        <v>45420</v>
      </c>
      <c r="N834" s="3" t="str">
        <f t="shared" si="50"/>
        <v>May</v>
      </c>
      <c r="O834" s="2" t="s">
        <v>6</v>
      </c>
      <c r="P834" t="str">
        <f t="shared" si="51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Raw Animal Data</vt:lpstr>
      <vt:lpstr>Clean Animal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2026-08-21T06:44:05Z</dcterms:created>
  <dcterms:modified xsi:type="dcterms:W3CDTF">2026-08-21T09:05:33Z</dcterms:modified>
</cp:coreProperties>
</file>