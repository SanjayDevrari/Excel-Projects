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646D18BD-076E-4B99-9C26-D937DC55EB6E}" xr6:coauthVersionLast="47" xr6:coauthVersionMax="47" xr10:uidLastSave="{00000000-0000-0000-0000-000000000000}"/>
  <bookViews>
    <workbookView xWindow="-108" yWindow="-108" windowWidth="23256" windowHeight="12456" xr2:uid="{9F266DC8-8E8B-45E9-9E3C-72152D4D3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9" i="1"/>
  <c r="I13" i="1"/>
  <c r="I15" i="1"/>
  <c r="I18" i="1"/>
  <c r="G15" i="1"/>
  <c r="G16" i="1"/>
  <c r="J16" i="1" s="1"/>
  <c r="G17" i="1"/>
  <c r="J17" i="1" s="1"/>
  <c r="G18" i="1"/>
  <c r="J18" i="1" s="1"/>
  <c r="G19" i="1"/>
  <c r="I19" i="1" s="1"/>
  <c r="G20" i="1"/>
  <c r="J20" i="1" s="1"/>
  <c r="G21" i="1"/>
  <c r="J21" i="1" s="1"/>
  <c r="G22" i="1"/>
  <c r="I22" i="1" s="1"/>
  <c r="G23" i="1"/>
  <c r="J23" i="1" s="1"/>
  <c r="G24" i="1"/>
  <c r="J24" i="1" s="1"/>
  <c r="G6" i="1"/>
  <c r="J6" i="1" s="1"/>
  <c r="G7" i="1"/>
  <c r="J7" i="1" s="1"/>
  <c r="G8" i="1"/>
  <c r="J8" i="1" s="1"/>
  <c r="G9" i="1"/>
  <c r="J9" i="1" s="1"/>
  <c r="G10" i="1"/>
  <c r="J10" i="1" s="1"/>
  <c r="G11" i="1"/>
  <c r="I11" i="1" s="1"/>
  <c r="G12" i="1"/>
  <c r="I12" i="1" s="1"/>
  <c r="G13" i="1"/>
  <c r="J13" i="1" s="1"/>
  <c r="G14" i="1"/>
  <c r="I14" i="1" s="1"/>
  <c r="G5" i="1"/>
  <c r="J5" i="1" s="1"/>
  <c r="G4" i="1"/>
  <c r="J4" i="1" s="1"/>
  <c r="I10" i="1" l="1"/>
  <c r="I23" i="1"/>
  <c r="I7" i="1"/>
  <c r="I21" i="1"/>
  <c r="I20" i="1"/>
  <c r="I4" i="1"/>
  <c r="I5" i="1"/>
  <c r="I17" i="1"/>
  <c r="J22" i="1"/>
  <c r="J14" i="1"/>
  <c r="I24" i="1"/>
  <c r="I16" i="1"/>
  <c r="I8" i="1"/>
  <c r="J12" i="1"/>
  <c r="I6" i="1"/>
  <c r="J19" i="1"/>
  <c r="J11" i="1"/>
</calcChain>
</file>

<file path=xl/sharedStrings.xml><?xml version="1.0" encoding="utf-8"?>
<sst xmlns="http://schemas.openxmlformats.org/spreadsheetml/2006/main" count="74" uniqueCount="39">
  <si>
    <t xml:space="preserve">Date </t>
  </si>
  <si>
    <t>Salesperson</t>
  </si>
  <si>
    <t xml:space="preserve">Region </t>
  </si>
  <si>
    <t>Product</t>
  </si>
  <si>
    <t>Sales</t>
  </si>
  <si>
    <t xml:space="preserve">Target </t>
  </si>
  <si>
    <t>Achievement %</t>
  </si>
  <si>
    <t xml:space="preserve">Profit </t>
  </si>
  <si>
    <t>Status</t>
  </si>
  <si>
    <t>Rating</t>
  </si>
  <si>
    <t>Sales Performance &amp; Target Dashboard</t>
  </si>
  <si>
    <t>Rahul</t>
  </si>
  <si>
    <t>Priya</t>
  </si>
  <si>
    <t>Aman</t>
  </si>
  <si>
    <t>Sanjay</t>
  </si>
  <si>
    <t>Deepak</t>
  </si>
  <si>
    <t>Madan</t>
  </si>
  <si>
    <t>Neha</t>
  </si>
  <si>
    <t>Kunal</t>
  </si>
  <si>
    <t>Himanshu</t>
  </si>
  <si>
    <t>Rohit</t>
  </si>
  <si>
    <t>Diya</t>
  </si>
  <si>
    <t>Rupak</t>
  </si>
  <si>
    <t>Dipali</t>
  </si>
  <si>
    <t>Rohani</t>
  </si>
  <si>
    <t>Divyashu</t>
  </si>
  <si>
    <t>Ashish</t>
  </si>
  <si>
    <t>North</t>
  </si>
  <si>
    <t>East</t>
  </si>
  <si>
    <t>West</t>
  </si>
  <si>
    <t>South</t>
  </si>
  <si>
    <t>Laptop</t>
  </si>
  <si>
    <t>Mobil</t>
  </si>
  <si>
    <t>Tablet</t>
  </si>
  <si>
    <t>AirPhone</t>
  </si>
  <si>
    <t>Watch</t>
  </si>
  <si>
    <t>Telivision</t>
  </si>
  <si>
    <t>Smart TV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</si>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</sst>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/dd/yy;@"/>
    <numFmt numFmtId="172" formatCode="_ [$₹-439]* #,##0.00_ ;_ [$₹-439]* \-#,##0.00_ ;_ [$₹-439]* &quot;-&quot;??_ ;_ @_ "/>
  </numFmts>
  <fonts count="3" x14ac:knownFonts="1">
    <font>
      <sz val="11"/>
      <color theme="1"/>
      <name val="Aptos Narrow"/>
      <family val="2"/>
      <scheme val="minor"/>
    </font>
    <font>
      <b/>
      <sz val="22"/>
      <color theme="1"/>
      <name val="Cambria"/>
      <family val="1"/>
    </font>
    <font>
      <b/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8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6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72" formatCode="_ [$₹-439]* #,##0.00_ ;_ [$₹-439]* \-#,##0.00_ ;_ [$₹-439]* &quot;-&quot;??_ ;_ @_ 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172" formatCode="_ [$₹-439]* #,##0.00_ ;_ [$₹-439]* \-#,##0.00_ ;_ [$₹-439]* &quot;-&quot;??_ ;_ @_ "/>
      <alignment horizontal="left" vertical="bottom" textRotation="0" wrapText="0" indent="0" justifyLastLine="0" shrinkToFit="0" readingOrder="0"/>
    </dxf>
    <dxf>
      <numFmt numFmtId="172" formatCode="_ [$₹-439]* #,##0.00_ ;_ [$₹-439]* \-#,##0.00_ ;_ [$₹-439]* &quot;-&quot;??_ ;_ @_ 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8" formatCode="mm/dd/yy;@"/>
      <alignment horizontal="left" vertical="bottom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F6A0C4-2560-4E83-A96F-9401EB9DDB8B}" name="Table3" displayName="Table3" ref="A3:J24" totalsRowShown="0" headerRowDxfId="0" dataDxfId="1">
  <autoFilter ref="A3:J24" xr:uid="{E4F6A0C4-2560-4E83-A96F-9401EB9DDB8B}"/>
  <tableColumns count="10">
    <tableColumn id="1" xr3:uid="{57793A1B-574F-4B06-A933-0CA70B0BEAAF}" name="Date " dataDxfId="11"/>
    <tableColumn id="2" xr3:uid="{C95B627A-2646-420C-ADAC-0B9F953ACAA5}" name="Salesperson" dataDxfId="10"/>
    <tableColumn id="3" xr3:uid="{48BEEE86-A534-4EC1-80D4-8C414EBBB9BC}" name="Region " dataDxfId="9"/>
    <tableColumn id="4" xr3:uid="{E4A584E4-2C54-4DF0-AA51-18F0C1AF33C9}" name="Product" dataDxfId="8"/>
    <tableColumn id="5" xr3:uid="{70250A4A-4349-4CE9-82D9-6C8B8824C515}" name="Sales" dataDxfId="7"/>
    <tableColumn id="6" xr3:uid="{E7865624-1D62-4D8C-8F62-CCFA8CC24199}" name="Target " dataDxfId="6"/>
    <tableColumn id="7" xr3:uid="{E946C8DD-2FF9-4B14-ACEF-82998A8DC843}" name="Achievement %" dataDxfId="5">
      <calculatedColumnFormula>E4/F4</calculatedColumnFormula>
    </tableColumn>
    <tableColumn id="8" xr3:uid="{435D4DA7-663D-430A-8F86-570864011ADD}" name="Profit " dataDxfId="4"/>
    <tableColumn id="9" xr3:uid="{DFD38184-2D29-47FB-A919-69E75EC01D3A}" name="Status" dataDxfId="3">
      <calculatedColumnFormula>IF(G4&gt;=100%,"Achieved","Below Target")</calculatedColumnFormula>
    </tableColumn>
    <tableColumn id="10" xr3:uid="{137E5712-6BAC-4D0C-AFC4-9BC8F1579425}" name="Rating" dataDxfId="2">
      <calculatedColumnFormula>IF(G4&gt;=110%,"Excellent",IF(G4&gt;=100%,"Good",IF(G4&gt;=80%,"Average","Needs Improvement")))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60C0-FC65-4A8F-B5F2-5CAE912FE4E2}">
  <sheetPr>
    <pageSetUpPr fitToPage="1"/>
  </sheetPr>
  <dimension ref="A1:J25"/>
  <sheetViews>
    <sheetView tabSelected="1" zoomScaleNormal="100" workbookViewId="0">
      <selection activeCell="L21" sqref="L21"/>
    </sheetView>
  </sheetViews>
  <sheetFormatPr defaultRowHeight="14.4" x14ac:dyDescent="0.3"/>
  <cols>
    <col min="1" max="1" width="11.33203125" customWidth="1"/>
    <col min="2" max="2" width="15.21875" customWidth="1"/>
    <col min="3" max="3" width="10.33203125" customWidth="1"/>
    <col min="4" max="4" width="11" customWidth="1"/>
    <col min="5" max="5" width="14" customWidth="1"/>
    <col min="6" max="6" width="15.77734375" customWidth="1"/>
    <col min="7" max="7" width="19" customWidth="1"/>
    <col min="8" max="8" width="11.33203125" bestFit="1" customWidth="1"/>
    <col min="9" max="9" width="11.5546875" customWidth="1"/>
    <col min="10" max="10" width="17.21875" customWidth="1"/>
  </cols>
  <sheetData>
    <row r="1" spans="1:10" x14ac:dyDescent="0.3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</row>
    <row r="4" spans="1:10" x14ac:dyDescent="0.3">
      <c r="A4" s="1">
        <v>46029</v>
      </c>
      <c r="B4" s="2" t="s">
        <v>11</v>
      </c>
      <c r="C4" s="2" t="s">
        <v>27</v>
      </c>
      <c r="D4" s="2" t="s">
        <v>31</v>
      </c>
      <c r="E4" s="3">
        <v>90000</v>
      </c>
      <c r="F4" s="3">
        <v>40000</v>
      </c>
      <c r="G4" s="4">
        <f>E4/F4</f>
        <v>2.25</v>
      </c>
      <c r="H4" s="3">
        <v>10000</v>
      </c>
      <c r="I4" s="6" t="str">
        <f>IF(G4&gt;=100%,"Achieved","Below Target")</f>
        <v>Achieved</v>
      </c>
      <c r="J4" s="6" t="str">
        <f>IF(G4&gt;=110%,"Excellent",IF(G4&gt;=100%,"Good",IF(G4&gt;=80%,"Average","Needs Improvement")))</f>
        <v>Excellent</v>
      </c>
    </row>
    <row r="5" spans="1:10" x14ac:dyDescent="0.3">
      <c r="A5" s="1">
        <v>46060</v>
      </c>
      <c r="B5" s="2" t="s">
        <v>12</v>
      </c>
      <c r="C5" s="2" t="s">
        <v>28</v>
      </c>
      <c r="D5" s="2" t="s">
        <v>32</v>
      </c>
      <c r="E5" s="3">
        <v>40000</v>
      </c>
      <c r="F5" s="3">
        <v>30000</v>
      </c>
      <c r="G5" s="4">
        <f>E5/F5</f>
        <v>1.3333333333333333</v>
      </c>
      <c r="H5" s="3">
        <v>2500</v>
      </c>
      <c r="I5" s="6" t="str">
        <f>IF(G5&gt;=100%,"Achieved","Below Target")</f>
        <v>Achieved</v>
      </c>
      <c r="J5" s="6" t="str">
        <f>IF(G5&gt;=110%,"Excellent",IF(G5&gt;=100%,"Good",IF(G5&gt;=80%,"Average","Needs Improvement")))</f>
        <v>Excellent</v>
      </c>
    </row>
    <row r="6" spans="1:10" x14ac:dyDescent="0.3">
      <c r="A6" s="1">
        <v>46088</v>
      </c>
      <c r="B6" s="2" t="s">
        <v>13</v>
      </c>
      <c r="C6" s="2" t="s">
        <v>29</v>
      </c>
      <c r="D6" s="2" t="s">
        <v>33</v>
      </c>
      <c r="E6" s="3">
        <v>50000</v>
      </c>
      <c r="F6" s="3">
        <v>30500</v>
      </c>
      <c r="G6" s="4">
        <f t="shared" ref="G6:G14" si="0">E6/F6</f>
        <v>1.639344262295082</v>
      </c>
      <c r="H6" s="3">
        <v>3000</v>
      </c>
      <c r="I6" s="6" t="str">
        <f t="shared" ref="I6:I24" si="1">IF(G6&gt;=100%,"Achieved","Below Target")</f>
        <v>Achieved</v>
      </c>
      <c r="J6" s="6" t="str">
        <f t="shared" ref="J6:J24" si="2">IF(G6&gt;=110%,"Excellent",IF(G6&gt;=100%,"Good",IF(G6&gt;=80%,"Average","Needs Improvement")))</f>
        <v>Excellent</v>
      </c>
    </row>
    <row r="7" spans="1:10" x14ac:dyDescent="0.3">
      <c r="A7" s="1">
        <v>46119</v>
      </c>
      <c r="B7" s="2" t="s">
        <v>14</v>
      </c>
      <c r="C7" s="2" t="s">
        <v>30</v>
      </c>
      <c r="D7" s="2" t="s">
        <v>34</v>
      </c>
      <c r="E7" s="3">
        <v>1000</v>
      </c>
      <c r="F7" s="3">
        <v>25000</v>
      </c>
      <c r="G7" s="4">
        <f t="shared" si="0"/>
        <v>0.04</v>
      </c>
      <c r="H7" s="3">
        <v>1000</v>
      </c>
      <c r="I7" s="6" t="str">
        <f t="shared" si="1"/>
        <v>Below Target</v>
      </c>
      <c r="J7" s="6" t="str">
        <f t="shared" si="2"/>
        <v>Needs Improvement</v>
      </c>
    </row>
    <row r="8" spans="1:10" x14ac:dyDescent="0.3">
      <c r="A8" s="1">
        <v>46149</v>
      </c>
      <c r="B8" s="2" t="s">
        <v>15</v>
      </c>
      <c r="C8" s="2" t="s">
        <v>27</v>
      </c>
      <c r="D8" s="2" t="s">
        <v>35</v>
      </c>
      <c r="E8" s="3">
        <v>15000</v>
      </c>
      <c r="F8" s="3">
        <v>20250</v>
      </c>
      <c r="G8" s="4">
        <f t="shared" si="0"/>
        <v>0.7407407407407407</v>
      </c>
      <c r="H8" s="3">
        <v>7000</v>
      </c>
      <c r="I8" s="6" t="str">
        <f t="shared" si="1"/>
        <v>Below Target</v>
      </c>
      <c r="J8" s="6" t="str">
        <f t="shared" si="2"/>
        <v>Needs Improvement</v>
      </c>
    </row>
    <row r="9" spans="1:10" x14ac:dyDescent="0.3">
      <c r="A9" s="1">
        <v>46180</v>
      </c>
      <c r="B9" s="2" t="s">
        <v>16</v>
      </c>
      <c r="C9" s="2" t="s">
        <v>28</v>
      </c>
      <c r="D9" s="2" t="s">
        <v>36</v>
      </c>
      <c r="E9" s="3">
        <v>30000</v>
      </c>
      <c r="F9" s="3">
        <v>15800</v>
      </c>
      <c r="G9" s="4">
        <f t="shared" si="0"/>
        <v>1.8987341772151898</v>
      </c>
      <c r="H9" s="3">
        <v>6000</v>
      </c>
      <c r="I9" s="6" t="str">
        <f t="shared" si="1"/>
        <v>Achieved</v>
      </c>
      <c r="J9" s="6" t="str">
        <f t="shared" si="2"/>
        <v>Excellent</v>
      </c>
    </row>
    <row r="10" spans="1:10" x14ac:dyDescent="0.3">
      <c r="A10" s="1">
        <v>46210</v>
      </c>
      <c r="B10" s="2" t="s">
        <v>11</v>
      </c>
      <c r="C10" s="2" t="s">
        <v>29</v>
      </c>
      <c r="D10" s="2" t="s">
        <v>37</v>
      </c>
      <c r="E10" s="3">
        <v>45000</v>
      </c>
      <c r="F10" s="3">
        <v>11350</v>
      </c>
      <c r="G10" s="4">
        <f t="shared" si="0"/>
        <v>3.9647577092511015</v>
      </c>
      <c r="H10" s="3">
        <v>4066.6666666666601</v>
      </c>
      <c r="I10" s="6" t="str">
        <f t="shared" si="1"/>
        <v>Achieved</v>
      </c>
      <c r="J10" s="6" t="str">
        <f t="shared" si="2"/>
        <v>Excellent</v>
      </c>
    </row>
    <row r="11" spans="1:10" x14ac:dyDescent="0.3">
      <c r="A11" s="1">
        <v>46241</v>
      </c>
      <c r="B11" s="2" t="s">
        <v>17</v>
      </c>
      <c r="C11" s="2" t="s">
        <v>30</v>
      </c>
      <c r="D11" s="2" t="s">
        <v>38</v>
      </c>
      <c r="E11" s="3">
        <v>600</v>
      </c>
      <c r="F11" s="3">
        <v>6900</v>
      </c>
      <c r="G11" s="4">
        <f t="shared" si="0"/>
        <v>8.6956521739130432E-2</v>
      </c>
      <c r="H11" s="3">
        <v>3823.8095238095202</v>
      </c>
      <c r="I11" s="6" t="str">
        <f t="shared" si="1"/>
        <v>Below Target</v>
      </c>
      <c r="J11" s="6" t="str">
        <f t="shared" si="2"/>
        <v>Needs Improvement</v>
      </c>
    </row>
    <row r="12" spans="1:10" x14ac:dyDescent="0.3">
      <c r="A12" s="1">
        <v>46272</v>
      </c>
      <c r="B12" s="2" t="s">
        <v>18</v>
      </c>
      <c r="C12" s="2" t="s">
        <v>27</v>
      </c>
      <c r="D12" s="2" t="s">
        <v>31</v>
      </c>
      <c r="E12" s="3">
        <v>90001</v>
      </c>
      <c r="F12" s="3">
        <v>2450</v>
      </c>
      <c r="G12" s="4">
        <f t="shared" si="0"/>
        <v>36.735102040816329</v>
      </c>
      <c r="H12" s="3">
        <v>3580.9523809523798</v>
      </c>
      <c r="I12" s="6" t="str">
        <f t="shared" si="1"/>
        <v>Achieved</v>
      </c>
      <c r="J12" s="6" t="str">
        <f t="shared" si="2"/>
        <v>Excellent</v>
      </c>
    </row>
    <row r="13" spans="1:10" x14ac:dyDescent="0.3">
      <c r="A13" s="1">
        <v>46302</v>
      </c>
      <c r="B13" s="2" t="s">
        <v>19</v>
      </c>
      <c r="C13" s="2" t="s">
        <v>28</v>
      </c>
      <c r="D13" s="2" t="s">
        <v>32</v>
      </c>
      <c r="E13" s="3">
        <v>11771.4285714286</v>
      </c>
      <c r="F13" s="3">
        <v>2000</v>
      </c>
      <c r="G13" s="4">
        <f t="shared" si="0"/>
        <v>5.8857142857142994</v>
      </c>
      <c r="H13" s="3">
        <v>3338.0952380952399</v>
      </c>
      <c r="I13" s="6" t="str">
        <f t="shared" si="1"/>
        <v>Achieved</v>
      </c>
      <c r="J13" s="6" t="str">
        <f t="shared" si="2"/>
        <v>Excellent</v>
      </c>
    </row>
    <row r="14" spans="1:10" x14ac:dyDescent="0.3">
      <c r="A14" s="1">
        <v>46333</v>
      </c>
      <c r="B14" s="2" t="s">
        <v>20</v>
      </c>
      <c r="C14" s="2" t="s">
        <v>29</v>
      </c>
      <c r="D14" s="2" t="s">
        <v>33</v>
      </c>
      <c r="E14" s="3">
        <v>8228.5714285714603</v>
      </c>
      <c r="F14" s="3">
        <v>6450</v>
      </c>
      <c r="G14" s="4">
        <f t="shared" si="0"/>
        <v>1.2757475083056529</v>
      </c>
      <c r="H14" s="3">
        <v>3095.23809523809</v>
      </c>
      <c r="I14" s="6" t="str">
        <f t="shared" si="1"/>
        <v>Achieved</v>
      </c>
      <c r="J14" s="6" t="str">
        <f t="shared" si="2"/>
        <v>Excellent</v>
      </c>
    </row>
    <row r="15" spans="1:10" x14ac:dyDescent="0.3">
      <c r="A15" s="1">
        <v>46363</v>
      </c>
      <c r="B15" s="2" t="s">
        <v>14</v>
      </c>
      <c r="C15" s="2" t="s">
        <v>30</v>
      </c>
      <c r="D15" s="2" t="s">
        <v>34</v>
      </c>
      <c r="E15" s="3">
        <v>4685.7142857142599</v>
      </c>
      <c r="F15" s="3">
        <v>10900</v>
      </c>
      <c r="G15" s="4">
        <f>E15/F15</f>
        <v>0.42988204456094126</v>
      </c>
      <c r="H15" s="3">
        <v>2852.38095238095</v>
      </c>
      <c r="I15" s="6" t="str">
        <f t="shared" si="1"/>
        <v>Below Target</v>
      </c>
      <c r="J15" s="6" t="str">
        <f t="shared" si="2"/>
        <v>Needs Improvement</v>
      </c>
    </row>
    <row r="16" spans="1:10" x14ac:dyDescent="0.3">
      <c r="A16" s="1">
        <v>46394</v>
      </c>
      <c r="B16" s="2" t="s">
        <v>21</v>
      </c>
      <c r="C16" s="2" t="s">
        <v>27</v>
      </c>
      <c r="D16" s="2" t="s">
        <v>35</v>
      </c>
      <c r="E16" s="3">
        <v>1142.8571428571699</v>
      </c>
      <c r="F16" s="3">
        <v>15350</v>
      </c>
      <c r="G16" s="4">
        <f>E16/F16</f>
        <v>7.4453234062356349E-2</v>
      </c>
      <c r="H16" s="3">
        <v>2609.5238095238101</v>
      </c>
      <c r="I16" s="6" t="str">
        <f t="shared" si="1"/>
        <v>Below Target</v>
      </c>
      <c r="J16" s="6" t="str">
        <f t="shared" si="2"/>
        <v>Needs Improvement</v>
      </c>
    </row>
    <row r="17" spans="1:10" x14ac:dyDescent="0.3">
      <c r="A17" s="1">
        <v>46425</v>
      </c>
      <c r="B17" s="2" t="s">
        <v>22</v>
      </c>
      <c r="C17" s="2" t="s">
        <v>28</v>
      </c>
      <c r="D17" s="2" t="s">
        <v>36</v>
      </c>
      <c r="E17" s="3">
        <v>2400.00000000004</v>
      </c>
      <c r="F17" s="3">
        <v>19800</v>
      </c>
      <c r="G17" s="4">
        <f t="shared" ref="G17:G24" si="3">E17/F17</f>
        <v>0.12121212121212323</v>
      </c>
      <c r="H17" s="3">
        <v>2366.6666666666601</v>
      </c>
      <c r="I17" s="6" t="str">
        <f t="shared" si="1"/>
        <v>Below Target</v>
      </c>
      <c r="J17" s="6" t="str">
        <f t="shared" si="2"/>
        <v>Needs Improvement</v>
      </c>
    </row>
    <row r="18" spans="1:10" x14ac:dyDescent="0.3">
      <c r="A18" s="1">
        <v>46453</v>
      </c>
      <c r="B18" s="2" t="s">
        <v>23</v>
      </c>
      <c r="C18" s="2" t="s">
        <v>29</v>
      </c>
      <c r="D18" s="2" t="s">
        <v>37</v>
      </c>
      <c r="E18" s="3">
        <v>5942.8571428571404</v>
      </c>
      <c r="F18" s="3">
        <v>24250</v>
      </c>
      <c r="G18" s="4">
        <f t="shared" si="3"/>
        <v>0.24506627393225322</v>
      </c>
      <c r="H18" s="3">
        <v>2123.8095238095202</v>
      </c>
      <c r="I18" s="6" t="str">
        <f t="shared" si="1"/>
        <v>Below Target</v>
      </c>
      <c r="J18" s="6" t="str">
        <f t="shared" si="2"/>
        <v>Needs Improvement</v>
      </c>
    </row>
    <row r="19" spans="1:10" x14ac:dyDescent="0.3">
      <c r="A19" s="1">
        <v>46484</v>
      </c>
      <c r="B19" s="2" t="s">
        <v>24</v>
      </c>
      <c r="C19" s="2" t="s">
        <v>30</v>
      </c>
      <c r="D19" s="2" t="s">
        <v>38</v>
      </c>
      <c r="E19" s="3">
        <v>9485.7142857142298</v>
      </c>
      <c r="F19" s="3">
        <v>28700</v>
      </c>
      <c r="G19" s="4">
        <f t="shared" si="3"/>
        <v>0.33051269288202889</v>
      </c>
      <c r="H19" s="3">
        <v>1880.9523809523801</v>
      </c>
      <c r="I19" s="6" t="str">
        <f t="shared" si="1"/>
        <v>Below Target</v>
      </c>
      <c r="J19" s="6" t="str">
        <f t="shared" si="2"/>
        <v>Needs Improvement</v>
      </c>
    </row>
    <row r="20" spans="1:10" x14ac:dyDescent="0.3">
      <c r="A20" s="1">
        <v>46514</v>
      </c>
      <c r="B20" s="2" t="s">
        <v>25</v>
      </c>
      <c r="C20" s="2" t="s">
        <v>27</v>
      </c>
      <c r="D20" s="2" t="s">
        <v>31</v>
      </c>
      <c r="E20" s="3">
        <v>90002</v>
      </c>
      <c r="F20" s="3">
        <v>33150</v>
      </c>
      <c r="G20" s="4">
        <f t="shared" si="3"/>
        <v>2.7149924585218703</v>
      </c>
      <c r="H20" s="3">
        <v>1638.0952380952399</v>
      </c>
      <c r="I20" s="6" t="str">
        <f t="shared" si="1"/>
        <v>Achieved</v>
      </c>
      <c r="J20" s="6" t="str">
        <f t="shared" si="2"/>
        <v>Excellent</v>
      </c>
    </row>
    <row r="21" spans="1:10" x14ac:dyDescent="0.3">
      <c r="A21" s="1">
        <v>46545</v>
      </c>
      <c r="B21" s="2" t="s">
        <v>26</v>
      </c>
      <c r="C21" s="2" t="s">
        <v>28</v>
      </c>
      <c r="D21" s="2" t="s">
        <v>32</v>
      </c>
      <c r="E21" s="3">
        <v>13028.5714285714</v>
      </c>
      <c r="F21" s="3">
        <v>37600</v>
      </c>
      <c r="G21" s="4">
        <f t="shared" si="3"/>
        <v>0.34650455927051599</v>
      </c>
      <c r="H21" s="3">
        <v>1395.23809523809</v>
      </c>
      <c r="I21" s="6" t="str">
        <f t="shared" si="1"/>
        <v>Below Target</v>
      </c>
      <c r="J21" s="6" t="str">
        <f t="shared" si="2"/>
        <v>Needs Improvement</v>
      </c>
    </row>
    <row r="22" spans="1:10" x14ac:dyDescent="0.3">
      <c r="A22" s="1">
        <v>46575</v>
      </c>
      <c r="B22" s="2" t="s">
        <v>18</v>
      </c>
      <c r="C22" s="2" t="s">
        <v>29</v>
      </c>
      <c r="D22" s="2" t="s">
        <v>33</v>
      </c>
      <c r="E22" s="3">
        <v>16571.4285714285</v>
      </c>
      <c r="F22" s="3">
        <v>42050</v>
      </c>
      <c r="G22" s="4">
        <f t="shared" si="3"/>
        <v>0.39408866995073721</v>
      </c>
      <c r="H22" s="3">
        <v>1152.38095238095</v>
      </c>
      <c r="I22" s="6" t="str">
        <f t="shared" si="1"/>
        <v>Below Target</v>
      </c>
      <c r="J22" s="6" t="str">
        <f t="shared" si="2"/>
        <v>Needs Improvement</v>
      </c>
    </row>
    <row r="23" spans="1:10" x14ac:dyDescent="0.3">
      <c r="A23" s="1">
        <v>46606</v>
      </c>
      <c r="B23" s="2" t="s">
        <v>15</v>
      </c>
      <c r="C23" s="2" t="s">
        <v>30</v>
      </c>
      <c r="D23" s="2" t="s">
        <v>34</v>
      </c>
      <c r="E23" s="3">
        <v>20114.285714285699</v>
      </c>
      <c r="F23" s="3">
        <v>46500</v>
      </c>
      <c r="G23" s="4">
        <f t="shared" si="3"/>
        <v>0.43256528417818707</v>
      </c>
      <c r="H23" s="3">
        <v>909.52380952381395</v>
      </c>
      <c r="I23" s="6" t="str">
        <f t="shared" si="1"/>
        <v>Below Target</v>
      </c>
      <c r="J23" s="6" t="str">
        <f t="shared" si="2"/>
        <v>Needs Improvement</v>
      </c>
    </row>
    <row r="24" spans="1:10" x14ac:dyDescent="0.3">
      <c r="A24" s="1">
        <v>46637</v>
      </c>
      <c r="B24" s="2" t="s">
        <v>16</v>
      </c>
      <c r="C24" s="2" t="s">
        <v>27</v>
      </c>
      <c r="D24" s="2" t="s">
        <v>35</v>
      </c>
      <c r="E24" s="3">
        <v>23657.1428571428</v>
      </c>
      <c r="F24" s="3">
        <v>50950</v>
      </c>
      <c r="G24" s="4">
        <f t="shared" si="3"/>
        <v>0.46432076265245931</v>
      </c>
      <c r="H24" s="3">
        <v>666.66666666666401</v>
      </c>
      <c r="I24" s="6" t="str">
        <f t="shared" si="1"/>
        <v>Below Target</v>
      </c>
      <c r="J24" s="6" t="str">
        <f t="shared" si="2"/>
        <v>Needs Improvement</v>
      </c>
    </row>
    <row r="25" spans="1:10" x14ac:dyDescent="0.3">
      <c r="A25" s="5"/>
      <c r="B25" s="5"/>
      <c r="C25" s="5"/>
      <c r="D25" s="5"/>
      <c r="E25" s="5"/>
      <c r="F25" s="5"/>
      <c r="G25" s="5"/>
      <c r="H25" s="5"/>
      <c r="I25" s="5"/>
      <c r="J25" s="5"/>
    </row>
  </sheetData>
  <mergeCells count="1">
    <mergeCell ref="A1:J2"/>
  </mergeCells>
  <conditionalFormatting sqref="E4:E24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{6607D597-891C-4294-B3EA-6B8BEA403E5F}</x14:id>
        </ext>
      </extLst>
    </cfRule>
    <cfRule type="aboveAverage" dxfId="27" priority="20"/>
    <cfRule type="cellIs" dxfId="26" priority="21" operator="lessThan">
      <formula>10000</formula>
    </cfRule>
    <cfRule type="cellIs" dxfId="25" priority="22" operator="greaterThan">
      <formula>45000</formula>
    </cfRule>
    <cfRule type="cellIs" dxfId="24" priority="23" operator="greaterThan">
      <formula>" ₹45,300"</formula>
    </cfRule>
    <cfRule type="cellIs" dxfId="23" priority="24" operator="greaterThan">
      <formula>" ₹45,301.00 "</formula>
    </cfRule>
    <cfRule type="cellIs" dxfId="22" priority="25" operator="greaterThan">
      <formula>" ₹45,301.00 "</formula>
    </cfRule>
    <cfRule type="cellIs" dxfId="21" priority="26" operator="greaterThan">
      <formula>" ₹45,301.00 "</formula>
    </cfRule>
  </conditionalFormatting>
  <conditionalFormatting sqref="G4:G24">
    <cfRule type="iconSet" priority="7">
      <iconSet iconSet="3Symbols">
        <cfvo type="percent" val="0"/>
        <cfvo type="percent" val="33"/>
        <cfvo type="percent" val="67"/>
      </iconSet>
    </cfRule>
    <cfRule type="cellIs" dxfId="20" priority="8" operator="between">
      <formula>0.01</formula>
      <formula>0.49</formula>
    </cfRule>
    <cfRule type="cellIs" dxfId="19" priority="9" operator="between">
      <formula>0.5</formula>
      <formula>0.99</formula>
    </cfRule>
    <cfRule type="cellIs" dxfId="18" priority="10" operator="between">
      <formula>1</formula>
      <formula>1.99</formula>
    </cfRule>
    <cfRule type="cellIs" dxfId="17" priority="11" operator="between">
      <formula>2</formula>
      <formula>50</formula>
    </cfRule>
  </conditionalFormatting>
  <conditionalFormatting sqref="H4:H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4">
    <cfRule type="containsText" dxfId="16" priority="3" operator="containsText" text="Below Target">
      <formula>NOT(ISERROR(SEARCH("Below Target",I4)))</formula>
    </cfRule>
    <cfRule type="containsText" dxfId="15" priority="4" operator="containsText" text="Below Target ">
      <formula>NOT(ISERROR(SEARCH("Below Target ",I4)))</formula>
    </cfRule>
    <cfRule type="containsText" dxfId="14" priority="5" operator="containsText" text="Achieved">
      <formula>NOT(ISERROR(SEARCH("Achieved",I4)))</formula>
    </cfRule>
  </conditionalFormatting>
  <conditionalFormatting sqref="J4:J24">
    <cfRule type="containsText" dxfId="13" priority="1" operator="containsText" text="Needs Improvement">
      <formula>NOT(ISERROR(SEARCH("Needs Improvement",J4)))</formula>
    </cfRule>
    <cfRule type="containsText" dxfId="12" priority="2" operator="containsText" text="Excellent">
      <formula>NOT(ISERROR(SEARCH("Excellent",J4)))</formula>
    </cfRule>
  </conditionalFormatting>
  <pageMargins left="0.7" right="0.7" top="0.75" bottom="0.75" header="0.3" footer="0.3"/>
  <pageSetup paperSize="9" scale="63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7D597-891C-4294-B3EA-6B8BEA403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2026-08-14T08:09:24Z</cp:lastPrinted>
  <dcterms:created xsi:type="dcterms:W3CDTF">2026-08-14T06:54:15Z</dcterms:created>
  <dcterms:modified xsi:type="dcterms:W3CDTF">2026-08-14T08:25:55Z</dcterms:modified>
</cp:coreProperties>
</file>