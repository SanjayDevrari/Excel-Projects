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318CC93-3AF6-4B2C-958D-4725165632CB}" xr6:coauthVersionLast="47" xr6:coauthVersionMax="47" xr10:uidLastSave="{00000000-0000-0000-0000-000000000000}"/>
  <bookViews>
    <workbookView xWindow="-108" yWindow="-108" windowWidth="23256" windowHeight="12456" xr2:uid="{B5B7BC98-EFF4-4852-B8A7-98068AA0C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<sst xmlns="http://schemas.openxmlformats.org/spreadsheetml/2006/main" count="95" uniqueCount="28">
  <si>
    <t>Date</t>
  </si>
  <si>
    <t>Category</t>
  </si>
  <si>
    <t>Amount</t>
  </si>
  <si>
    <t>Tax %</t>
  </si>
  <si>
    <t>Tax Amount</t>
  </si>
  <si>
    <t>Total</t>
  </si>
  <si>
    <t>Payment</t>
  </si>
  <si>
    <t>Budget %</t>
  </si>
  <si>
    <t>Status</t>
  </si>
  <si>
    <t>Personal Finance &amp; Expense Tracker</t>
  </si>
  <si>
    <t>Food</t>
  </si>
  <si>
    <t>Travel</t>
  </si>
  <si>
    <t>Shopping</t>
  </si>
  <si>
    <t>Social Media</t>
  </si>
  <si>
    <t>Electricity Bill</t>
  </si>
  <si>
    <t>Presonal</t>
  </si>
  <si>
    <t>Lunch</t>
  </si>
  <si>
    <t>Bus</t>
  </si>
  <si>
    <t>Cloths</t>
  </si>
  <si>
    <t xml:space="preserve">Recharge </t>
  </si>
  <si>
    <t>last  2 month</t>
  </si>
  <si>
    <t>Hair Cut</t>
  </si>
  <si>
    <t>UPI</t>
  </si>
  <si>
    <t>Cash</t>
  </si>
  <si>
    <t>Online</t>
  </si>
  <si>
    <t>Description</t>
  </si>
  <si>
    <t>Within Budget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</si>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</sst>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;@"/>
    <numFmt numFmtId="166" formatCode="[$INR]\ #,##0.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6" fontId="4" fillId="4" borderId="1" xfId="0" applyNumberFormat="1" applyFont="1" applyFill="1" applyBorder="1" applyAlignment="1">
      <alignment horizontal="left"/>
    </xf>
    <xf numFmtId="10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7CE9-76BD-4B07-B588-F1F419C76264}">
  <dimension ref="A1:J24"/>
  <sheetViews>
    <sheetView tabSelected="1" workbookViewId="0">
      <selection activeCell="M6" sqref="M6"/>
    </sheetView>
  </sheetViews>
  <sheetFormatPr defaultRowHeight="14.4" x14ac:dyDescent="0.3"/>
  <cols>
    <col min="1" max="1" width="10.109375" customWidth="1"/>
    <col min="2" max="2" width="12.6640625" customWidth="1"/>
    <col min="3" max="3" width="14.33203125" customWidth="1"/>
    <col min="4" max="4" width="10.88671875" customWidth="1"/>
    <col min="6" max="6" width="14" customWidth="1"/>
    <col min="7" max="7" width="11.21875" customWidth="1"/>
    <col min="8" max="8" width="9.44140625" customWidth="1"/>
    <col min="9" max="9" width="10" customWidth="1"/>
    <col min="10" max="10" width="14.33203125" customWidth="1"/>
  </cols>
  <sheetData>
    <row r="1" spans="1:10" x14ac:dyDescent="0.3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.6" x14ac:dyDescent="0.3">
      <c r="A3" s="3" t="s">
        <v>0</v>
      </c>
      <c r="B3" s="3" t="s">
        <v>1</v>
      </c>
      <c r="C3" s="3" t="s">
        <v>25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1:10" x14ac:dyDescent="0.3">
      <c r="A4" s="5">
        <v>46029</v>
      </c>
      <c r="B4" s="6" t="s">
        <v>10</v>
      </c>
      <c r="C4" s="7" t="s">
        <v>16</v>
      </c>
      <c r="D4" s="8">
        <v>250</v>
      </c>
      <c r="E4" s="9">
        <v>0.05</v>
      </c>
      <c r="F4" s="8">
        <f>D4*E4/100</f>
        <v>0.125</v>
      </c>
      <c r="G4" s="8">
        <f>D4+F4</f>
        <v>250.125</v>
      </c>
      <c r="H4" s="6" t="s">
        <v>22</v>
      </c>
      <c r="I4" s="9">
        <v>0.14000000000000001</v>
      </c>
      <c r="J4" s="4" t="s">
        <v>26</v>
      </c>
    </row>
    <row r="5" spans="1:10" x14ac:dyDescent="0.3">
      <c r="A5" s="5">
        <v>46060</v>
      </c>
      <c r="B5" s="6" t="s">
        <v>11</v>
      </c>
      <c r="C5" s="7" t="s">
        <v>17</v>
      </c>
      <c r="D5" s="8">
        <v>40</v>
      </c>
      <c r="E5" s="9">
        <v>0.02</v>
      </c>
      <c r="F5" s="8">
        <f t="shared" ref="F5:F24" si="0">D5*E5/100</f>
        <v>8.0000000000000002E-3</v>
      </c>
      <c r="G5" s="8">
        <f t="shared" ref="G5:G24" si="1">D5+F5</f>
        <v>40.008000000000003</v>
      </c>
      <c r="H5" s="6" t="s">
        <v>23</v>
      </c>
      <c r="I5" s="9">
        <v>0.08</v>
      </c>
      <c r="J5" s="4" t="s">
        <v>26</v>
      </c>
    </row>
    <row r="6" spans="1:10" x14ac:dyDescent="0.3">
      <c r="A6" s="5">
        <v>46088</v>
      </c>
      <c r="B6" s="6" t="s">
        <v>12</v>
      </c>
      <c r="C6" s="7" t="s">
        <v>18</v>
      </c>
      <c r="D6" s="8">
        <v>550</v>
      </c>
      <c r="E6" s="9">
        <v>0.1</v>
      </c>
      <c r="F6" s="8">
        <f t="shared" si="0"/>
        <v>0.55000000000000004</v>
      </c>
      <c r="G6" s="8">
        <f t="shared" si="1"/>
        <v>550.54999999999995</v>
      </c>
      <c r="H6" s="6" t="s">
        <v>24</v>
      </c>
      <c r="I6" s="9">
        <v>0.25</v>
      </c>
      <c r="J6" s="4" t="s">
        <v>27</v>
      </c>
    </row>
    <row r="7" spans="1:10" x14ac:dyDescent="0.3">
      <c r="A7" s="5">
        <v>46119</v>
      </c>
      <c r="B7" s="6" t="s">
        <v>13</v>
      </c>
      <c r="C7" s="7" t="s">
        <v>19</v>
      </c>
      <c r="D7" s="8">
        <v>349</v>
      </c>
      <c r="E7" s="9">
        <v>0.1</v>
      </c>
      <c r="F7" s="8">
        <f t="shared" si="0"/>
        <v>0.34899999999999998</v>
      </c>
      <c r="G7" s="8">
        <f t="shared" si="1"/>
        <v>349.34899999999999</v>
      </c>
      <c r="H7" s="6" t="s">
        <v>22</v>
      </c>
      <c r="I7" s="9">
        <v>0.2</v>
      </c>
      <c r="J7" s="4" t="s">
        <v>27</v>
      </c>
    </row>
    <row r="8" spans="1:10" x14ac:dyDescent="0.3">
      <c r="A8" s="5">
        <v>46149</v>
      </c>
      <c r="B8" s="6" t="s">
        <v>14</v>
      </c>
      <c r="C8" s="7" t="s">
        <v>20</v>
      </c>
      <c r="D8" s="8">
        <v>400</v>
      </c>
      <c r="E8" s="9">
        <v>0.15</v>
      </c>
      <c r="F8" s="8">
        <f t="shared" si="0"/>
        <v>0.6</v>
      </c>
      <c r="G8" s="8">
        <f t="shared" si="1"/>
        <v>400.6</v>
      </c>
      <c r="H8" s="6" t="s">
        <v>23</v>
      </c>
      <c r="I8" s="9">
        <v>0.22</v>
      </c>
      <c r="J8" s="4" t="s">
        <v>26</v>
      </c>
    </row>
    <row r="9" spans="1:10" x14ac:dyDescent="0.3">
      <c r="A9" s="5">
        <v>46180</v>
      </c>
      <c r="B9" s="6" t="s">
        <v>15</v>
      </c>
      <c r="C9" s="7" t="s">
        <v>21</v>
      </c>
      <c r="D9" s="8">
        <v>80</v>
      </c>
      <c r="E9" s="9">
        <v>0</v>
      </c>
      <c r="F9" s="8">
        <f t="shared" si="0"/>
        <v>0</v>
      </c>
      <c r="G9" s="8">
        <f t="shared" si="1"/>
        <v>80</v>
      </c>
      <c r="H9" s="6" t="s">
        <v>24</v>
      </c>
      <c r="I9" s="9">
        <v>0.26200000000000001</v>
      </c>
      <c r="J9" s="4" t="s">
        <v>26</v>
      </c>
    </row>
    <row r="10" spans="1:10" x14ac:dyDescent="0.3">
      <c r="A10" s="5">
        <v>46210</v>
      </c>
      <c r="B10" s="6" t="s">
        <v>10</v>
      </c>
      <c r="C10" s="7" t="s">
        <v>16</v>
      </c>
      <c r="D10" s="8">
        <v>281.066666666667</v>
      </c>
      <c r="E10" s="9">
        <v>8.4000000000000005E-2</v>
      </c>
      <c r="F10" s="8">
        <f t="shared" si="0"/>
        <v>0.23609600000000028</v>
      </c>
      <c r="G10" s="8">
        <f t="shared" si="1"/>
        <v>281.30276266666698</v>
      </c>
      <c r="H10" s="6" t="s">
        <v>22</v>
      </c>
      <c r="I10" s="9">
        <v>0.28999999999999998</v>
      </c>
      <c r="J10" s="4" t="s">
        <v>27</v>
      </c>
    </row>
    <row r="11" spans="1:10" x14ac:dyDescent="0.3">
      <c r="A11" s="5">
        <v>46241</v>
      </c>
      <c r="B11" s="6" t="s">
        <v>11</v>
      </c>
      <c r="C11" s="7" t="s">
        <v>17</v>
      </c>
      <c r="D11" s="8">
        <v>281.89523809523803</v>
      </c>
      <c r="E11" s="9">
        <v>8.7999999999999995E-2</v>
      </c>
      <c r="F11" s="8">
        <f t="shared" si="0"/>
        <v>0.24806780952380944</v>
      </c>
      <c r="G11" s="8">
        <f t="shared" si="1"/>
        <v>282.14330590476186</v>
      </c>
      <c r="H11" s="6" t="s">
        <v>23</v>
      </c>
      <c r="I11" s="9">
        <v>0.318</v>
      </c>
      <c r="J11" s="4" t="s">
        <v>27</v>
      </c>
    </row>
    <row r="12" spans="1:10" x14ac:dyDescent="0.3">
      <c r="A12" s="5">
        <v>46272</v>
      </c>
      <c r="B12" s="6" t="s">
        <v>12</v>
      </c>
      <c r="C12" s="7" t="s">
        <v>18</v>
      </c>
      <c r="D12" s="8">
        <v>282.723809523809</v>
      </c>
      <c r="E12" s="9">
        <v>9.1999999999999998E-2</v>
      </c>
      <c r="F12" s="8">
        <f t="shared" si="0"/>
        <v>0.26010590476190426</v>
      </c>
      <c r="G12" s="8">
        <f t="shared" si="1"/>
        <v>282.98391542857092</v>
      </c>
      <c r="H12" s="6" t="s">
        <v>24</v>
      </c>
      <c r="I12" s="9">
        <v>0.34599999999999997</v>
      </c>
      <c r="J12" s="4" t="s">
        <v>26</v>
      </c>
    </row>
    <row r="13" spans="1:10" x14ac:dyDescent="0.3">
      <c r="A13" s="5">
        <v>46302</v>
      </c>
      <c r="B13" s="6" t="s">
        <v>13</v>
      </c>
      <c r="C13" s="7" t="s">
        <v>19</v>
      </c>
      <c r="D13" s="8">
        <v>283.55238095238099</v>
      </c>
      <c r="E13" s="9">
        <v>9.6000000000000002E-2</v>
      </c>
      <c r="F13" s="8">
        <f t="shared" si="0"/>
        <v>0.27221028571428574</v>
      </c>
      <c r="G13" s="8">
        <f t="shared" si="1"/>
        <v>283.82459123809525</v>
      </c>
      <c r="H13" s="6" t="s">
        <v>22</v>
      </c>
      <c r="I13" s="9">
        <v>0.374</v>
      </c>
      <c r="J13" s="4" t="s">
        <v>26</v>
      </c>
    </row>
    <row r="14" spans="1:10" x14ac:dyDescent="0.3">
      <c r="A14" s="5">
        <v>46333</v>
      </c>
      <c r="B14" s="6" t="s">
        <v>14</v>
      </c>
      <c r="C14" s="7" t="s">
        <v>20</v>
      </c>
      <c r="D14" s="8">
        <v>284.38095238095201</v>
      </c>
      <c r="E14" s="9">
        <v>0.1</v>
      </c>
      <c r="F14" s="8">
        <f t="shared" si="0"/>
        <v>0.28438095238095201</v>
      </c>
      <c r="G14" s="8">
        <f t="shared" si="1"/>
        <v>284.66533333333297</v>
      </c>
      <c r="H14" s="6" t="s">
        <v>23</v>
      </c>
      <c r="I14" s="9">
        <v>0.40200000000000002</v>
      </c>
      <c r="J14" s="4" t="s">
        <v>27</v>
      </c>
    </row>
    <row r="15" spans="1:10" x14ac:dyDescent="0.3">
      <c r="A15" s="5">
        <v>46363</v>
      </c>
      <c r="B15" s="6" t="s">
        <v>15</v>
      </c>
      <c r="C15" s="7" t="s">
        <v>21</v>
      </c>
      <c r="D15" s="8">
        <v>285.209523809524</v>
      </c>
      <c r="E15" s="9">
        <v>0.104</v>
      </c>
      <c r="F15" s="8">
        <f t="shared" si="0"/>
        <v>0.29661790476190492</v>
      </c>
      <c r="G15" s="8">
        <f t="shared" si="1"/>
        <v>285.50614171428589</v>
      </c>
      <c r="H15" s="6" t="s">
        <v>24</v>
      </c>
      <c r="I15" s="9">
        <v>0.43</v>
      </c>
      <c r="J15" s="4" t="s">
        <v>27</v>
      </c>
    </row>
    <row r="16" spans="1:10" x14ac:dyDescent="0.3">
      <c r="A16" s="5">
        <v>46394</v>
      </c>
      <c r="B16" s="6" t="s">
        <v>10</v>
      </c>
      <c r="C16" s="7" t="s">
        <v>16</v>
      </c>
      <c r="D16" s="8">
        <v>286.03809523809502</v>
      </c>
      <c r="E16" s="9">
        <v>0.108</v>
      </c>
      <c r="F16" s="8">
        <f t="shared" si="0"/>
        <v>0.30892114285714262</v>
      </c>
      <c r="G16" s="8">
        <f t="shared" si="1"/>
        <v>286.34701638095214</v>
      </c>
      <c r="H16" s="6" t="s">
        <v>22</v>
      </c>
      <c r="I16" s="9">
        <v>0.45800000000000002</v>
      </c>
      <c r="J16" s="4" t="s">
        <v>26</v>
      </c>
    </row>
    <row r="17" spans="1:10" x14ac:dyDescent="0.3">
      <c r="A17" s="5">
        <v>46425</v>
      </c>
      <c r="B17" s="6" t="s">
        <v>11</v>
      </c>
      <c r="C17" s="7" t="s">
        <v>17</v>
      </c>
      <c r="D17" s="8">
        <v>286.86666666666702</v>
      </c>
      <c r="E17" s="9">
        <v>0.112</v>
      </c>
      <c r="F17" s="8">
        <f t="shared" si="0"/>
        <v>0.32129066666666711</v>
      </c>
      <c r="G17" s="8">
        <f t="shared" si="1"/>
        <v>287.18795733333366</v>
      </c>
      <c r="H17" s="6" t="s">
        <v>23</v>
      </c>
      <c r="I17" s="9">
        <v>0.48599999999999999</v>
      </c>
      <c r="J17" s="4" t="s">
        <v>26</v>
      </c>
    </row>
    <row r="18" spans="1:10" x14ac:dyDescent="0.3">
      <c r="A18" s="5">
        <v>46453</v>
      </c>
      <c r="B18" s="6" t="s">
        <v>12</v>
      </c>
      <c r="C18" s="7" t="s">
        <v>18</v>
      </c>
      <c r="D18" s="8">
        <v>287.69523809523798</v>
      </c>
      <c r="E18" s="9">
        <v>0.11600000000000001</v>
      </c>
      <c r="F18" s="8">
        <f t="shared" si="0"/>
        <v>0.33372647619047607</v>
      </c>
      <c r="G18" s="8">
        <f t="shared" si="1"/>
        <v>288.02896457142845</v>
      </c>
      <c r="H18" s="6" t="s">
        <v>24</v>
      </c>
      <c r="I18" s="9">
        <v>0.51400000000000001</v>
      </c>
      <c r="J18" s="4" t="s">
        <v>27</v>
      </c>
    </row>
    <row r="19" spans="1:10" x14ac:dyDescent="0.3">
      <c r="A19" s="5">
        <v>46484</v>
      </c>
      <c r="B19" s="6" t="s">
        <v>13</v>
      </c>
      <c r="C19" s="7" t="s">
        <v>19</v>
      </c>
      <c r="D19" s="8">
        <v>288.52380952380901</v>
      </c>
      <c r="E19" s="9">
        <v>0.12</v>
      </c>
      <c r="F19" s="8">
        <f t="shared" si="0"/>
        <v>0.34622857142857077</v>
      </c>
      <c r="G19" s="8">
        <f t="shared" si="1"/>
        <v>288.87003809523759</v>
      </c>
      <c r="H19" s="6" t="s">
        <v>22</v>
      </c>
      <c r="I19" s="9">
        <v>0.54200000000000004</v>
      </c>
      <c r="J19" s="4" t="s">
        <v>27</v>
      </c>
    </row>
    <row r="20" spans="1:10" x14ac:dyDescent="0.3">
      <c r="A20" s="5">
        <v>46514</v>
      </c>
      <c r="B20" s="6" t="s">
        <v>14</v>
      </c>
      <c r="C20" s="7" t="s">
        <v>20</v>
      </c>
      <c r="D20" s="8">
        <v>289.352380952381</v>
      </c>
      <c r="E20" s="9">
        <v>0.124</v>
      </c>
      <c r="F20" s="8">
        <f t="shared" si="0"/>
        <v>0.35879695238095244</v>
      </c>
      <c r="G20" s="8">
        <f t="shared" si="1"/>
        <v>289.71117790476194</v>
      </c>
      <c r="H20" s="6" t="s">
        <v>23</v>
      </c>
      <c r="I20" s="9">
        <v>0.56999999999999995</v>
      </c>
      <c r="J20" s="4" t="s">
        <v>26</v>
      </c>
    </row>
    <row r="21" spans="1:10" x14ac:dyDescent="0.3">
      <c r="A21" s="5">
        <v>46545</v>
      </c>
      <c r="B21" s="6" t="s">
        <v>15</v>
      </c>
      <c r="C21" s="7" t="s">
        <v>21</v>
      </c>
      <c r="D21" s="8">
        <v>290.18095238095202</v>
      </c>
      <c r="E21" s="9">
        <v>0.128</v>
      </c>
      <c r="F21" s="8">
        <f t="shared" si="0"/>
        <v>0.37143161904761862</v>
      </c>
      <c r="G21" s="8">
        <f t="shared" si="1"/>
        <v>290.55238399999962</v>
      </c>
      <c r="H21" s="6" t="s">
        <v>24</v>
      </c>
      <c r="I21" s="9">
        <v>0.59799999999999998</v>
      </c>
      <c r="J21" s="4" t="s">
        <v>26</v>
      </c>
    </row>
    <row r="22" spans="1:10" x14ac:dyDescent="0.3">
      <c r="A22" s="5">
        <v>46575</v>
      </c>
      <c r="B22" s="6" t="s">
        <v>10</v>
      </c>
      <c r="C22" s="7" t="s">
        <v>16</v>
      </c>
      <c r="D22" s="8">
        <v>291.00952380952401</v>
      </c>
      <c r="E22" s="9">
        <v>0.13200000000000001</v>
      </c>
      <c r="F22" s="8">
        <f t="shared" si="0"/>
        <v>0.38413257142857171</v>
      </c>
      <c r="G22" s="8">
        <f t="shared" si="1"/>
        <v>291.39365638095256</v>
      </c>
      <c r="H22" s="6" t="s">
        <v>22</v>
      </c>
      <c r="I22" s="9">
        <v>0.626</v>
      </c>
      <c r="J22" s="4" t="s">
        <v>27</v>
      </c>
    </row>
    <row r="23" spans="1:10" x14ac:dyDescent="0.3">
      <c r="A23" s="5">
        <v>46606</v>
      </c>
      <c r="B23" s="6" t="s">
        <v>11</v>
      </c>
      <c r="C23" s="7" t="s">
        <v>17</v>
      </c>
      <c r="D23" s="8">
        <v>291.83809523809498</v>
      </c>
      <c r="E23" s="9">
        <v>0.13600000000000001</v>
      </c>
      <c r="F23" s="8">
        <f t="shared" si="0"/>
        <v>0.39689980952380921</v>
      </c>
      <c r="G23" s="8">
        <f t="shared" si="1"/>
        <v>292.23499504761878</v>
      </c>
      <c r="H23" s="6" t="s">
        <v>23</v>
      </c>
      <c r="I23" s="9">
        <v>0.65400000000000003</v>
      </c>
      <c r="J23" s="4" t="s">
        <v>27</v>
      </c>
    </row>
    <row r="24" spans="1:10" x14ac:dyDescent="0.3">
      <c r="A24" s="5">
        <v>46637</v>
      </c>
      <c r="B24" s="6" t="s">
        <v>12</v>
      </c>
      <c r="C24" s="7" t="s">
        <v>18</v>
      </c>
      <c r="D24" s="8">
        <v>292.666666666666</v>
      </c>
      <c r="E24" s="9">
        <v>0.14000000000000001</v>
      </c>
      <c r="F24" s="8">
        <f t="shared" si="0"/>
        <v>0.40973333333333245</v>
      </c>
      <c r="G24" s="8">
        <f t="shared" si="1"/>
        <v>293.07639999999935</v>
      </c>
      <c r="H24" s="6" t="s">
        <v>24</v>
      </c>
      <c r="I24" s="9">
        <v>0.68200000000000005</v>
      </c>
      <c r="J24" s="4" t="s">
        <v>26</v>
      </c>
    </row>
  </sheetData>
  <mergeCells count="1">
    <mergeCell ref="A1:J2"/>
  </mergeCells>
  <conditionalFormatting sqref="J4:J24">
    <cfRule type="containsText" dxfId="0" priority="2" operator="containsText" text="Within Budget">
      <formula>NOT(ISERROR(SEARCH("Within Budget",J4)))</formula>
    </cfRule>
    <cfRule type="containsText" dxfId="1" priority="1" operator="containsText" text="Warning">
      <formula>NOT(ISERROR(SEARCH("Warning",J4)))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2026-08-13T09:54:06Z</dcterms:created>
  <dcterms:modified xsi:type="dcterms:W3CDTF">2026-08-13T10:34:58Z</dcterms:modified>
</cp:coreProperties>
</file>